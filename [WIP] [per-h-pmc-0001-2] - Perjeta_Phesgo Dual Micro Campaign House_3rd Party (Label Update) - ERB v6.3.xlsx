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Email Details" sheetId="1" r:id="rId4"/>
    <sheet state="visible" name="Pre-Open Package" sheetId="2" r:id="rId5"/>
    <sheet state="visible" name="CreativeLink MatrixAlt Text" sheetId="3" r:id="rId6"/>
    <sheet state="visible" name="Production Details" sheetId="4" r:id="rId7"/>
    <sheet state="visible" name="Deployment Details" sheetId="5" r:id="rId8"/>
    <sheet state="visible" name="GNE Validation" sheetId="6" r:id="rId9"/>
    <sheet state="visible" name="Deployment Details - Dynamic Va"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tc={280167e4-5d40-4cc7-bab3-28d101da93de}</author>
  </authors>
  <commentList>
    <comment authorId="0" xr:uid="{280167e4-5d40-4cc7-bab3-28d101da93de}" ref="B25">
      <text>
        <t xml:space="preserve">[Threaded comment]
 Your version of Excel allows you to read this threaded comment; however, any edits to it will get removed if the file is opened in a newer version of Excel. Learn more: https://go.microsoft.com/fwlink/?linkid=870924
Comment:
	@kris.sandi.ks1@roche.com Please indicate if this will be ad hoc or CDP. If ad hoc, please indicate the ad hoc list and if there will be any ad hoc fulfillment rules, if not please put "N/A". Also please indicate if there will be any dynamic content or an A/B test or redeploy, if not please put "N/A". Thank you!
cc: @jenalper@publicisgroupe.net
Assigned to kris.sandi.ks1@roche.com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tc={7d70fa97-fd1b-4375-8b44-53f339419314}</author>
    <author>tc={fe1d4a56-75ee-4d59-8e7d-ccbfac6f6529}</author>
  </authors>
  <commentList>
    <comment authorId="0" xr:uid="{7d70fa97-fd1b-4375-8b44-53f339419314}" ref="A2">
      <text>
        <t xml:space="preserve">[Threaded comment]
 Your version of Excel allows you to read this threaded comment; however, any edits to it will get removed if the file is opened in a newer version of Excel. Learn more: https://go.microsoft.com/fwlink/?linkid=870924
Comment:
	@mastells@external.gene.com please complete the HOUSE Email Part.
Assigned to mastells@external.gene.com
Reply:
	@kris.sandi.ks1@roche.com I'm not sure what is missing, all of the sections in yellow House/3P section are filled in. Can you specify which cell? Thanks
Reassigned to kris.sandi.ks1@roche.com
</t>
      </text>
    </comment>
    <comment authorId="1" xr:uid="{fe1d4a56-75ee-4d59-8e7d-ccbfac6f6529}" ref="B31">
      <text>
        <t xml:space="preserve">[Threaded comment]
 Your version of Excel allows you to read this threaded comment; however, any edits to it will get removed if the file is opened in a newer version of Excel. Learn more: https://go.microsoft.com/fwlink/?linkid=870924
Comment:
	@mastells@external.gene.com complete the information for the VAE.
Reply:
	@kris.sandi.ks1@roche.com at this time we are only proceeding with the House/3rd Party versions of this email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View example Dev-Ready Package here: https://drive.google.com/drive/folders/1k_pX5f4klxGLFsL6rKlufxdiu5v3WFSn</t>
      </text>
    </comment>
    <comment authorId="0" ref="A7">
      <text>
        <t xml:space="preserve">View example Dev-Ready Package here: https://drive.google.com/drive/folders/1k_pX5f4klxGLFsL6rKlufxdiu5v3WFSn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View example Dev-Ready Package here: http://go.gene.com/rm-cp-examples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tc={566b6689-545e-4bc9-bb8b-89ca2d031fec}</author>
    <author>tc={57a200f5-441f-4c23-99a9-fc8419d33bfe}</author>
  </authors>
  <commentList>
    <comment authorId="0" xr:uid="{566b6689-545e-4bc9-bb8b-89ca2d031fec}" ref="B22">
      <text>
        <t xml:space="preserve">[Threaded comment]
 Your version of Excel allows you to read this threaded comment; however, any edits to it will get removed if the file is opened in a newer version of Excel. Learn more: https://go.microsoft.com/fwlink/?linkid=870924
Comment:
	@kris.sandi.ks1@roche.com Please add subject lines
Assigned to kris.sandi.ks1@roche.com
</t>
      </text>
    </comment>
    <comment authorId="1" xr:uid="{57a200f5-441f-4c23-99a9-fc8419d33bfe}" ref="B15">
      <text>
        <t xml:space="preserve">[Threaded comment]
 Your version of Excel allows you to read this threaded comment; however, any edits to it will get removed if the file is opened in a newer version of Excel. Learn more: https://go.microsoft.com/fwlink/?linkid=870924
Comment:
	@kris.sandi.ks1@roche.com Please add HCP email rating
Assigned to kris.sandi.ks1@roche.com
</t>
      </text>
    </comment>
  </commentList>
</comments>
</file>

<file path=xl/sharedStrings.xml><?xml version="1.0" encoding="utf-8"?>
<sst xmlns="http://schemas.openxmlformats.org/spreadsheetml/2006/main" count="675" uniqueCount="366">
  <si>
    <t xml:space="preserve">Template v 6.3 </t>
  </si>
  <si>
    <t>Answers</t>
  </si>
  <si>
    <t>Notes</t>
  </si>
  <si>
    <t>Character Counter</t>
  </si>
  <si>
    <t>Owner</t>
  </si>
  <si>
    <r>
      <rPr>
        <b val="0"/>
        <color rgb="FFFFFFFF"/>
      </rPr>
      <t xml:space="preserve">Items to be completed for </t>
    </r>
    <r>
      <rPr>
        <b/>
        <color rgb="FFFFFFFF"/>
        <sz val="12.0"/>
      </rPr>
      <t>DEV-HANDOFF</t>
    </r>
  </si>
  <si>
    <r>
      <rPr>
        <rFont val="Arial"/>
        <b/>
        <color rgb="FF000000"/>
      </rPr>
      <t xml:space="preserve">For House/3rd Party PRC Submissions:
</t>
    </r>
    <r>
      <rPr>
        <rFont val="Arial"/>
        <b val="0"/>
        <color rgb="FF000000"/>
      </rPr>
      <t>Collapse row 1 if you are working on a VAE</t>
    </r>
    <r>
      <rPr>
        <rFont val="Arial"/>
        <b/>
        <color rgb="FF000000"/>
      </rPr>
      <t xml:space="preserve">
</t>
    </r>
    <r>
      <rPr>
        <rFont val="Arial"/>
        <b val="0"/>
        <color rgb="FF000000"/>
      </rPr>
      <t>Collapse column B before downloading as a PDF</t>
    </r>
  </si>
  <si>
    <r>
      <rPr>
        <b/>
        <sz val="10.0"/>
      </rPr>
      <t xml:space="preserve">For PRC submissions </t>
    </r>
    <r>
      <rPr>
        <b/>
        <sz val="10.0"/>
        <u/>
      </rPr>
      <t>only links and alt text should be included:</t>
    </r>
    <r>
      <rPr>
        <b/>
        <sz val="10.0"/>
      </rPr>
      <t xml:space="preserve">
</t>
    </r>
    <r>
      <rPr>
        <b val="0"/>
        <sz val="9.0"/>
      </rPr>
      <t>- Do not delete any rows as it will break formulas on other tabs</t>
    </r>
    <r>
      <rPr>
        <b val="0"/>
        <sz val="10.0"/>
      </rPr>
      <t xml:space="preserve">
</t>
    </r>
    <r>
      <rPr>
        <b val="0"/>
        <sz val="9.0"/>
      </rPr>
      <t>- Hide rows that should not be included with submission by right clicking on the row and select "Hide row"
- Download tab as a PDF by opening up "File", select "Download" and select "PDF Document"
- Once complete remember to unhide all rows</t>
    </r>
  </si>
  <si>
    <t>Document Number:</t>
  </si>
  <si>
    <t>HANDOFF PACKAGES</t>
  </si>
  <si>
    <t>M-US-00029496(v2.0)</t>
  </si>
  <si>
    <t>e.g M-US-XXXXXXXX(vX.0)</t>
  </si>
  <si>
    <t xml:space="preserve">General Program Information </t>
  </si>
  <si>
    <t>Project Brief</t>
  </si>
  <si>
    <t xml:space="preserve">Answers </t>
  </si>
  <si>
    <t>Sender Name:</t>
  </si>
  <si>
    <t>Genentech Oncology</t>
  </si>
  <si>
    <r>
      <rPr>
        <rFont val="arial, sans, sans-serif"/>
        <i/>
      </rPr>
      <t xml:space="preserve">AOR to populate, DEM to validate against </t>
    </r>
    <r>
      <rPr>
        <rFont val="arial, sans, sans-serif"/>
        <i/>
        <color rgb="FF1155CC"/>
        <u/>
      </rPr>
      <t xml:space="preserve">PPD
</t>
    </r>
    <r>
      <rPr>
        <rFont val="arial, sans, sans-serif"/>
        <i/>
      </rPr>
      <t>e.g. Genentech Oncology
Remove if 3rd Party email</t>
    </r>
  </si>
  <si>
    <r>
      <rPr>
        <sz val="9.0"/>
      </rPr>
      <t xml:space="preserve">Link to brief if available
</t>
    </r>
    <r>
      <rPr>
        <b/>
        <sz val="9.0"/>
      </rPr>
      <t>Required for emails with Dynamic content</t>
    </r>
  </si>
  <si>
    <t>General Email/VAE Information</t>
  </si>
  <si>
    <t>DEM</t>
  </si>
  <si>
    <t xml:space="preserve">Notes </t>
  </si>
  <si>
    <t>Is the Email and/or VAE responsive?</t>
  </si>
  <si>
    <t xml:space="preserve">Program's Persistant Details </t>
  </si>
  <si>
    <t>https://docs.google.com/spreadsheets/d/1WQMNaAgEyscqaI80XXc-lHGu1Un7Ogt1jeA1AWvwrLE/edit#gid=0</t>
  </si>
  <si>
    <t xml:space="preserve">Owner </t>
  </si>
  <si>
    <t>House/3rd Party Email</t>
  </si>
  <si>
    <t>Sender Email:</t>
  </si>
  <si>
    <t>Oncology@e.genentech.com
Oncology@mail.genentech.com</t>
  </si>
  <si>
    <r>
      <rPr>
        <rFont val="arial, sans, sans-serif"/>
        <i/>
      </rPr>
      <t xml:space="preserve">AOR to populate, DEM to validate against </t>
    </r>
    <r>
      <rPr>
        <rFont val="arial, sans, sans-serif"/>
        <i/>
        <color rgb="FF1155CC"/>
        <u/>
      </rPr>
      <t xml:space="preserve">PPD
</t>
    </r>
    <r>
      <rPr>
        <rFont val="arial, sans, sans-serif"/>
        <i/>
        <color rgb="FFFF0000"/>
      </rPr>
      <t xml:space="preserve">Only change the part before the @ symbol
</t>
    </r>
    <r>
      <rPr>
        <rFont val="arial, sans, sans-serif"/>
        <i/>
      </rPr>
      <t>e.g. oncology@e.genentech.com
Remove if 3rd Party email</t>
    </r>
  </si>
  <si>
    <r>
      <rPr>
        <rFont val="arial"/>
        <b/>
        <sz val="9.0"/>
      </rPr>
      <t xml:space="preserve">Related Epic Number
</t>
    </r>
    <r>
      <rPr>
        <rFont val="arial"/>
        <b/>
        <i/>
        <sz val="9.0"/>
      </rPr>
      <t>Note</t>
    </r>
    <r>
      <rPr>
        <rFont val="arial"/>
        <b val="0"/>
        <i/>
        <sz val="9.0"/>
      </rPr>
      <t>: do not format as link to Jira ticket</t>
    </r>
  </si>
  <si>
    <t xml:space="preserve">Central document with information on all program's persistant information including sender info, sender name, and email lists for friendlies and final send. </t>
  </si>
  <si>
    <t>Brand Status Sheet</t>
  </si>
  <si>
    <t>Link to your brand's status sheet with details on the email's timeline, contacts, etc</t>
  </si>
  <si>
    <t>RMEM-9118</t>
  </si>
  <si>
    <t>WIP BRD folder</t>
  </si>
  <si>
    <t>To:</t>
  </si>
  <si>
    <t>John Doe &lt;john.doe@example.com&gt;</t>
  </si>
  <si>
    <t>Do not update</t>
  </si>
  <si>
    <t>Link to your WIP folder with your program's relevant supporting documents</t>
  </si>
  <si>
    <t>XD UI Kit</t>
  </si>
  <si>
    <t xml:space="preserve">Auto-populated from Program Details </t>
  </si>
  <si>
    <t>Link to the XD UI Kit this email will leverage</t>
  </si>
  <si>
    <t>Is a Third Party screenshot needed?</t>
  </si>
  <si>
    <r>
      <rPr>
        <rFont val="Arial"/>
        <sz val="9.0"/>
      </rPr>
      <t xml:space="preserve">DEM to populate for AOR to use in the </t>
    </r>
    <r>
      <rPr>
        <rFont val="Arial"/>
        <color rgb="FF1155CC"/>
        <sz val="9.0"/>
        <u/>
      </rPr>
      <t>Digital Handoff form</t>
    </r>
    <r>
      <rPr>
        <rFont val="Arial"/>
        <sz val="9.0"/>
      </rPr>
      <t xml:space="preserve"> submission
</t>
    </r>
    <r>
      <rPr>
        <rFont val="Arial"/>
        <b/>
        <i/>
        <sz val="9.0"/>
      </rPr>
      <t>Example: RMEM-345</t>
    </r>
  </si>
  <si>
    <t>Safety Fragments</t>
  </si>
  <si>
    <t>Link to the safety fragment folder this email will leverage</t>
  </si>
  <si>
    <t>RM Development Resources Link</t>
  </si>
  <si>
    <r>
      <rPr>
        <rFont val="arial, sans, sans-serif"/>
        <i/>
      </rPr>
      <t xml:space="preserve">Provide up to a max of 3 subject line options for each of the emails 
Subject Line Best Practice - Keep 50 characters or less
</t>
    </r>
    <r>
      <rPr>
        <rFont val="arial, sans, sans-serif"/>
        <b/>
        <i/>
      </rPr>
      <t>Length:</t>
    </r>
  </si>
  <si>
    <t>https://drive.google.com/drive/folders/1_HsKoGYpnAezRWK9rk5CmlVxa0ULqOTt</t>
  </si>
  <si>
    <t>Subject Line Option 1:</t>
  </si>
  <si>
    <t>Review survival and safety data in 1L HER2+ MBC</t>
  </si>
  <si>
    <t>House Email Development Details</t>
  </si>
  <si>
    <t>Subject Line Option 2:</t>
  </si>
  <si>
    <t>See survival and safety data. Learn about a 1L HER2+ MBC treatment</t>
  </si>
  <si>
    <t>Subject Line Option 3:</t>
  </si>
  <si>
    <t>How do survival and safety data guide your treatment strategy?</t>
  </si>
  <si>
    <t>This folder houses best practices, onboarding materials, submission guidance, etc</t>
  </si>
  <si>
    <t>Subject Line Option 4:</t>
  </si>
  <si>
    <t>Email Details</t>
  </si>
  <si>
    <t>Treatment choices start with knowing survival and safety data</t>
  </si>
  <si>
    <t>Email Name</t>
  </si>
  <si>
    <t>Subject Line Option 5:</t>
  </si>
  <si>
    <t>Perjeta/Phesgo Dual Micro Campaign (Label Update)</t>
  </si>
  <si>
    <t>What’s your induction-maintenance strategy in 1L HER2+ MBC?</t>
  </si>
  <si>
    <t>Subject Line Option 6:</t>
  </si>
  <si>
    <t>What guides your induction-maintenance choices?</t>
  </si>
  <si>
    <t>Name your email and use the same name across your FDS, email calendar, gCampaign, etc.</t>
  </si>
  <si>
    <t>Subject Line Option 7:</t>
  </si>
  <si>
    <t>Explore a 1L HER2+ MBC treatment</t>
  </si>
  <si>
    <t>Auto-populated from Pre-Open Package tab</t>
  </si>
  <si>
    <t>Preheader text should work accordingly with your subject line
Preheader Best Practice - Keep 50-100 characters</t>
  </si>
  <si>
    <t>Email Marketing Unit</t>
  </si>
  <si>
    <t>Phesgo/Perjeta</t>
  </si>
  <si>
    <t>Provide the marketing unit that should be used when creating a tactic code for this email</t>
  </si>
  <si>
    <t>Preheader Text Option 1:</t>
  </si>
  <si>
    <t>Review data for a treatment option</t>
  </si>
  <si>
    <t>AOR</t>
  </si>
  <si>
    <t>Preheader Text Option 2:</t>
  </si>
  <si>
    <t>Google Drive Folder for Dev-Ready House Email Package</t>
  </si>
  <si>
    <t>Explore a treatment option</t>
  </si>
  <si>
    <t>Preheader Text Option 3:</t>
  </si>
  <si>
    <t>See the data to help plan your treatment in 1L HER2+ MBC</t>
  </si>
  <si>
    <t>Yes</t>
  </si>
  <si>
    <t>Preheader Text Option 4:</t>
  </si>
  <si>
    <t>Inform your strategy in 1L HER2+ MBC</t>
  </si>
  <si>
    <t>Preheader Text Option 5:</t>
  </si>
  <si>
    <t>Preheader Text Option 6:</t>
  </si>
  <si>
    <t>Explore the data of an option in 1L HER2+ MBC</t>
  </si>
  <si>
    <t>Preheader Text Option 7:</t>
  </si>
  <si>
    <t>See the data to help plan your strategy</t>
  </si>
  <si>
    <t>Is the Rep Connect CTA Included?</t>
  </si>
  <si>
    <t>Delivery Objective</t>
  </si>
  <si>
    <t>No</t>
  </si>
  <si>
    <t>Auto-populated from Creative/Link Matrix/Alt Text tab</t>
  </si>
  <si>
    <t xml:space="preserve">House Email Asset Code </t>
  </si>
  <si>
    <t>Driver</t>
  </si>
  <si>
    <r>
      <rPr>
        <b/>
        <sz val="9.0"/>
      </rPr>
      <t xml:space="preserve">Email Type
</t>
    </r>
    <r>
      <rPr>
        <b val="0"/>
        <sz val="9.0"/>
      </rPr>
      <t>(Ad hoc, Cadenced, Real-Time, VAE, 3rd Party)</t>
    </r>
  </si>
  <si>
    <t>3rd Party, House</t>
  </si>
  <si>
    <r>
      <rPr>
        <sz val="9.0"/>
      </rPr>
      <t xml:space="preserve">List all that apply: 
Ad hoc, Cadenced, Real-time, VAE, 3rd party
</t>
    </r>
    <r>
      <rPr>
        <i/>
        <color rgb="FF45818E"/>
        <sz val="9.0"/>
      </rPr>
      <t>Example: Cadenced, Real-Time</t>
    </r>
  </si>
  <si>
    <r>
      <rPr>
        <color rgb="FF000000"/>
        <sz val="9.0"/>
      </rPr>
      <t>AOR to populate based on campaign delivery objective, as defined with Marketing in the Brand ICT.  Values should be "</t>
    </r>
    <r>
      <rPr>
        <i/>
        <color rgb="FF000000"/>
        <sz val="9.0"/>
      </rPr>
      <t>Driver</t>
    </r>
    <r>
      <rPr>
        <color rgb="FF000000"/>
        <sz val="9.0"/>
      </rPr>
      <t>" or "</t>
    </r>
    <r>
      <rPr>
        <i/>
        <color rgb="FF000000"/>
        <sz val="9.0"/>
      </rPr>
      <t>Stand-alone</t>
    </r>
    <r>
      <rPr>
        <color rgb="FF000000"/>
        <sz val="9.0"/>
      </rPr>
      <t>"</t>
    </r>
  </si>
  <si>
    <t>Email Audience</t>
  </si>
  <si>
    <r>
      <rPr>
        <rFont val="Arial"/>
        <b/>
        <color rgb="FF000000"/>
      </rPr>
      <t xml:space="preserve">For VAE PRC Submissions:
</t>
    </r>
    <r>
      <rPr>
        <rFont val="Arial"/>
        <b val="0"/>
        <color rgb="FF000000"/>
      </rPr>
      <t>Collapse row 17 if you are working on a House or 3rd party email
Collapse column B before downloading as a PDF</t>
    </r>
  </si>
  <si>
    <t>HCP</t>
  </si>
  <si>
    <t>Auto-populated from Program Details Tab</t>
  </si>
  <si>
    <t>Select the audience this email is for</t>
  </si>
  <si>
    <r>
      <rPr>
        <b/>
        <sz val="9.0"/>
      </rPr>
      <t>House Email Asset Code</t>
    </r>
    <r>
      <rPr>
        <b val="0"/>
        <sz val="9.0"/>
      </rPr>
      <t xml:space="preserve"> </t>
    </r>
  </si>
  <si>
    <t>per-h-pmc-0001-2, per-h-pmc-0001-2-tp</t>
  </si>
  <si>
    <t>[]</t>
  </si>
  <si>
    <t>2 Asset Handoff</t>
  </si>
  <si>
    <t>Refer to asset codes article for more info</t>
  </si>
  <si>
    <t>e.g. M-US-XXXXXXXX(vX.0)</t>
  </si>
  <si>
    <t>Previous Asset Code</t>
  </si>
  <si>
    <t>Pulls through to Production Details tab</t>
  </si>
  <si>
    <t>From:</t>
  </si>
  <si>
    <t>rep-email@gene.com</t>
  </si>
  <si>
    <t xml:space="preserve">Auto-populated from Program/Email Details tab </t>
  </si>
  <si>
    <t>John Doe &lt;john.doe@example.com</t>
  </si>
  <si>
    <r>
      <rPr>
        <b/>
        <sz val="9.0"/>
      </rPr>
      <t>VAE Email Asset Code</t>
    </r>
    <r>
      <rPr>
        <b val="0"/>
        <sz val="9.0"/>
      </rPr>
      <t xml:space="preserve"> </t>
    </r>
  </si>
  <si>
    <r>
      <rPr>
        <rFont val="arial, sans, sans-serif"/>
        <i/>
      </rPr>
      <t xml:space="preserve">Add additional SL options as needed
Subject Line Best Practice - Keep 50 characters or less
</t>
    </r>
    <r>
      <rPr>
        <rFont val="arial, sans, sans-serif"/>
        <b/>
        <i/>
      </rPr>
      <t>Length:</t>
    </r>
  </si>
  <si>
    <t>Google Drive Folder for House Email's AFD File</t>
  </si>
  <si>
    <t>per-h-pmc-0001-1-fe</t>
  </si>
  <si>
    <t>4. PRC_RegA_FDA</t>
  </si>
  <si>
    <t>N/A</t>
  </si>
  <si>
    <t>If leveraging a previous asset for the update provide asset code Inizio should reference</t>
  </si>
  <si>
    <r>
      <rPr>
        <b/>
        <color rgb="FFFFFFFF"/>
        <sz val="9.0"/>
      </rPr>
      <t xml:space="preserve">House Ad Hoc Email Specifications
</t>
    </r>
    <r>
      <rPr>
        <b val="0"/>
        <color rgb="FFFFFFFF"/>
        <sz val="9.0"/>
      </rPr>
      <t>(N/A for VAEs)</t>
    </r>
    <r>
      <rPr>
        <b/>
        <color rgb="FFFFFFFF"/>
        <sz val="9.0"/>
      </rPr>
      <t xml:space="preserve">
</t>
    </r>
    <r>
      <rPr>
        <b val="0"/>
        <color rgb="FFFFFFFF"/>
        <sz val="9.0"/>
      </rPr>
      <t>*Cadenced &amp; real-time email specifics are defined in the Fulfillment Details Sheet</t>
    </r>
  </si>
  <si>
    <t>Target Audience</t>
  </si>
  <si>
    <r>
      <rPr>
        <rFont val="Arial"/>
        <b/>
        <color rgb="FF000000"/>
        <sz val="9.0"/>
      </rPr>
      <t>Override</t>
    </r>
    <r>
      <rPr>
        <rFont val="Arial"/>
        <b/>
        <color rgb="FFFF00FF"/>
        <sz val="9.0"/>
      </rPr>
      <t xml:space="preserve"> </t>
    </r>
    <r>
      <rPr>
        <rFont val="Arial"/>
        <b/>
        <color rgb="FF000000"/>
        <sz val="9.0"/>
      </rPr>
      <t xml:space="preserve">Domain 'Email Type' Suppression?
</t>
    </r>
    <r>
      <rPr>
        <rFont val="Arial"/>
        <b val="0"/>
        <color rgb="FF000000"/>
        <sz val="9.0"/>
      </rPr>
      <t>(N/A for VAE)</t>
    </r>
    <r>
      <rPr>
        <rFont val="Arial"/>
        <b/>
        <color rgb="FF000000"/>
        <sz val="9.0"/>
      </rPr>
      <t xml:space="preserve">
</t>
    </r>
    <r>
      <rPr>
        <rFont val="Arial"/>
        <b val="0"/>
        <color rgb="FF000000"/>
        <sz val="9.0"/>
      </rPr>
      <t>Should be 'No' unless this is a PAYUHCPRM or Cross-Portfolio safety and disaster email deployment that requires an exception</t>
    </r>
  </si>
  <si>
    <t>Pulls through to Production Details tab
Specify VVPM code for this email asset if you have multiple files in your folder
Can be same location Google Drive Folder for Dev-Ready Package</t>
  </si>
  <si>
    <t>Veeva Approved Email (VAE)</t>
  </si>
  <si>
    <t>Placeholder Rep Message
{{VeevaRepMessage}}</t>
  </si>
  <si>
    <t>If this is a PAYUHCPRM or Cross-Portfolio safety and disaster email deployment and you are unsure if it should have an exception to this suppression, partner with XO Leadership</t>
  </si>
  <si>
    <r>
      <rPr>
        <rFont val="Arial"/>
        <b/>
        <sz val="9.0"/>
      </rPr>
      <t xml:space="preserve">Ad Hoc List or CDP Audience Activation?
</t>
    </r>
    <r>
      <rPr>
        <rFont val="Arial"/>
        <b val="0"/>
        <i/>
        <sz val="9.0"/>
      </rPr>
      <t>Omni use cases will always use CDP and will not use an ad hoc list</t>
    </r>
  </si>
  <si>
    <r>
      <rPr>
        <rFont val="arial"/>
        <b/>
        <sz val="9.0"/>
      </rPr>
      <t xml:space="preserve">Related Epic Number
</t>
    </r>
    <r>
      <rPr>
        <rFont val="arial"/>
        <b/>
        <i/>
        <sz val="9.0"/>
      </rPr>
      <t>Note:</t>
    </r>
    <r>
      <rPr>
        <rFont val="arial"/>
        <b val="0"/>
        <i/>
        <sz val="9.0"/>
      </rPr>
      <t xml:space="preserve"> do not format as link to Jira ticket</t>
    </r>
  </si>
  <si>
    <t>[Dear/Hello/Greetings/Good Morning/Good Afternoon/Hi] [Dr./Mr./Ms.] [FirstName/LastName]
[Customize this paragraph in line with the direction provided in the accompanying Field Direction Memo. Information should be limited to greeting and should contain no product claims.]
[Full Name]
[Title]
[Genentech]
[Mobile (XXX) XXX-XXXX]
[Email]</t>
  </si>
  <si>
    <r>
      <rPr>
        <rFont val="arial"/>
        <b/>
        <i/>
        <color rgb="FFFF0000"/>
      </rPr>
      <t>Do not update
Commercial VAEs Only</t>
    </r>
    <r>
      <rPr>
        <rFont val="arial"/>
        <i/>
        <color rgb="FFFF0000"/>
      </rPr>
      <t xml:space="preserve">
This needs to be included for Regulatory review and should not be updated.  Any custom language provided by Marketing should go in the Field DIrection Memo (FDM)</t>
    </r>
  </si>
  <si>
    <r>
      <rPr>
        <rFont val="Arial"/>
        <b/>
        <sz val="9.0"/>
      </rPr>
      <t xml:space="preserve">Ad Hoc List Name
</t>
    </r>
    <r>
      <rPr>
        <rFont val="Arial"/>
        <b val="0"/>
        <sz val="9.0"/>
      </rPr>
      <t>(N/A for VAEs &amp; CDP Audience Activation)</t>
    </r>
  </si>
  <si>
    <r>
      <rPr>
        <rFont val="Arial"/>
        <sz val="9.0"/>
      </rPr>
      <t xml:space="preserve">DEM to populate for AOR to use in the </t>
    </r>
    <r>
      <rPr>
        <rFont val="Arial"/>
        <color rgb="FF1155CC"/>
        <sz val="9.0"/>
        <u/>
      </rPr>
      <t>Digital Handoff form</t>
    </r>
    <r>
      <rPr>
        <rFont val="Arial"/>
        <sz val="9.0"/>
      </rPr>
      <t xml:space="preserve"> submission
</t>
    </r>
    <r>
      <rPr>
        <rFont val="Arial"/>
        <b/>
        <i/>
        <sz val="9.0"/>
      </rPr>
      <t>Example: RMEM-345</t>
    </r>
  </si>
  <si>
    <r>
      <rPr>
        <sz val="9.0"/>
      </rPr>
      <t xml:space="preserve">Defined in Program RM BRD
</t>
    </r>
    <r>
      <rPr>
        <i/>
        <color rgb="FF45818E"/>
        <sz val="9.0"/>
      </rPr>
      <t>Example: Avastin HCP Branded</t>
    </r>
  </si>
  <si>
    <r>
      <rPr>
        <rFont val="Arial"/>
        <b/>
        <sz val="9.0"/>
      </rPr>
      <t xml:space="preserve">Ad Hoc Fulfillment Rules
</t>
    </r>
    <r>
      <rPr>
        <rFont val="Arial"/>
        <b val="0"/>
        <sz val="9.0"/>
      </rPr>
      <t xml:space="preserve">(N/A for VAEs </t>
    </r>
    <r>
      <rPr>
        <rFont val="Arial"/>
        <b val="0"/>
        <sz val="9.0"/>
      </rPr>
      <t>&amp; CDP Audience Activation</t>
    </r>
    <r>
      <rPr>
        <rFont val="Arial"/>
        <b val="0"/>
        <sz val="9.0"/>
      </rPr>
      <t>)</t>
    </r>
  </si>
  <si>
    <t xml:space="preserve">Text version being used </t>
  </si>
  <si>
    <r>
      <rPr>
        <sz val="9.0"/>
      </rPr>
      <t xml:space="preserve">May not be applicable, only add if special rule(s) that aren't already defined in Program RM BRD need to be applied 
</t>
    </r>
    <r>
      <rPr>
        <i/>
        <color rgb="FF45818E"/>
        <sz val="9.0"/>
      </rPr>
      <t>Example: Suppress users that opened original email sent on X date</t>
    </r>
  </si>
  <si>
    <t>Dynamic Content (If applicable)</t>
  </si>
  <si>
    <t>Estimated Dynamic Content Variables Count</t>
  </si>
  <si>
    <r>
      <rPr>
        <rFont val="Arial"/>
        <sz val="9.0"/>
      </rPr>
      <t xml:space="preserve">Max number of Dynamic Content Variables is 50. 
</t>
    </r>
    <r>
      <rPr>
        <rFont val="Arial"/>
        <i/>
        <color rgb="FF45818E"/>
        <sz val="9.0"/>
      </rPr>
      <t>Example: 26</t>
    </r>
    <r>
      <rPr>
        <rFont val="Arial"/>
        <sz val="9.0"/>
      </rPr>
      <t xml:space="preserve">
DEM to provide estimated count. Epsilon to populate the final count of dynamic variables on the "Deployment Details" tab once dynamic content fields have been shared.</t>
    </r>
  </si>
  <si>
    <r>
      <rPr>
        <color rgb="FF000000"/>
        <sz val="9.0"/>
      </rPr>
      <t>AOR to populate based on campaign delivery objective, as defined with Marketing in the Brand ICT.  Values should be "</t>
    </r>
    <r>
      <rPr>
        <i/>
        <color rgb="FF000000"/>
        <sz val="9.0"/>
      </rPr>
      <t>Driver</t>
    </r>
    <r>
      <rPr>
        <color rgb="FF000000"/>
        <sz val="9.0"/>
      </rPr>
      <t>" or "</t>
    </r>
    <r>
      <rPr>
        <i/>
        <color rgb="FF000000"/>
        <sz val="9.0"/>
      </rPr>
      <t>Stand-alone</t>
    </r>
    <r>
      <rPr>
        <color rgb="FF000000"/>
        <sz val="9.0"/>
      </rPr>
      <t>"</t>
    </r>
  </si>
  <si>
    <t>Ad Hoc Testing Specifications</t>
  </si>
  <si>
    <t>Will email have an A/B test?</t>
  </si>
  <si>
    <t>VAE Template Name</t>
  </si>
  <si>
    <t>This is what will appear in VAE that users (field teams) see and identify the email by
Collaborate with Marketing + RM DEM to pull through template name best practices</t>
  </si>
  <si>
    <t>Indicate Yes or No if this email will be an A/B test</t>
  </si>
  <si>
    <r>
      <rPr>
        <rFont val="Arial"/>
        <sz val="9.0"/>
      </rPr>
      <t>Only co-promote brands have been approved to use custom generic text versions.</t>
    </r>
    <r>
      <rPr>
        <rFont val="Arial"/>
        <sz val="9.0"/>
      </rPr>
      <t xml:space="preserve">
</t>
    </r>
    <r>
      <rPr>
        <rFont val="Arial"/>
        <sz val="9.0"/>
        <u/>
      </rPr>
      <t>View standard text versions here</t>
    </r>
    <r>
      <rPr>
        <rFont val="Arial"/>
        <sz val="9.0"/>
      </rPr>
      <t>.</t>
    </r>
  </si>
  <si>
    <t>Test Plan</t>
  </si>
  <si>
    <t xml:space="preserve">Maximum Number of Email Fragments (Optional) </t>
  </si>
  <si>
    <r>
      <rPr>
        <rFont val="Arial"/>
        <color rgb="FF000000"/>
        <sz val="9.0"/>
      </rPr>
      <t xml:space="preserve">How the list should be split for the test and final deployments. 
</t>
    </r>
    <r>
      <rPr>
        <rFont val="Arial"/>
        <i/>
        <color rgb="FF000000"/>
        <sz val="9.0"/>
      </rPr>
      <t>Examples: 50/50, 10/10/80, 25/25/50, 10/10/10/70</t>
    </r>
  </si>
  <si>
    <t>Test List Size</t>
  </si>
  <si>
    <r>
      <rPr>
        <rFont val="Arial"/>
        <color rgb="FF000000"/>
        <sz val="9.0"/>
      </rPr>
      <t xml:space="preserve">Add the size of the test lists
</t>
    </r>
    <r>
      <rPr>
        <rFont val="Arial"/>
        <i/>
        <color rgb="FF000000"/>
        <sz val="9.0"/>
      </rPr>
      <t>Example: Test lists should be 2,000 for each test group; final deploy to remainder of list</t>
    </r>
  </si>
  <si>
    <t>Ad Hoc Redeploy Specifications</t>
  </si>
  <si>
    <t>Ad Hoc Redeploy?</t>
  </si>
  <si>
    <t>Enter the maximum number of email fragments allowed to be included in one VAE. We recommend not including more than 8.</t>
  </si>
  <si>
    <t xml:space="preserve">Suppressions
</t>
  </si>
  <si>
    <t>Indicate Yes or No with details (opens, clicks)</t>
  </si>
  <si>
    <t xml:space="preserve">VAE Email Fragment 1 Name </t>
  </si>
  <si>
    <r>
      <rPr>
        <rFont val="Arial"/>
        <b/>
        <color rgb="FF000000"/>
        <sz val="9.0"/>
      </rPr>
      <t>New subject line and tactic code:</t>
    </r>
    <r>
      <rPr>
        <rFont val="Arial"/>
        <color rgb="FF000000"/>
        <sz val="9.0"/>
      </rPr>
      <t xml:space="preserve"> Indicate Y or N
</t>
    </r>
  </si>
  <si>
    <t xml:space="preserve">This is what users (field teams) see and identify the email fragment by. Collaborate with Marketing + RM DEM to align on a user-friendly name. Limit is 100 characters. List in the order that they should appear. Duplicate row as needed. </t>
  </si>
  <si>
    <t>If Yes, indicate subject line on Production Details Tab, row 38
Anytime the subject line changes, a new Tactic Code is used</t>
  </si>
  <si>
    <t>Include new program enrollees since initial deploy</t>
  </si>
  <si>
    <t>VAE Email Fragment 2 Name</t>
  </si>
  <si>
    <t>Name Personalization</t>
  </si>
  <si>
    <t>Google Drive Folder for Dev-Ready VAE Package</t>
  </si>
  <si>
    <t>Pulls through to Epsilon/ACM Deployment Tab
Add N/A to column B if no personalization</t>
  </si>
  <si>
    <t xml:space="preserve">Inizio </t>
  </si>
  <si>
    <t>Name Personalization (Code)</t>
  </si>
  <si>
    <t>N/A (unless "Other" was selected for "Name Personalization")</t>
  </si>
  <si>
    <r>
      <rPr>
        <sz val="9.0"/>
      </rPr>
      <t xml:space="preserve">Standard name personalization code: </t>
    </r>
    <r>
      <rPr>
        <color rgb="FF1155CC"/>
        <sz val="9.0"/>
        <u/>
      </rPr>
      <t xml:space="preserve">AEM- Email Development Variables
</t>
    </r>
    <r>
      <rPr>
        <b/>
        <sz val="9.0"/>
      </rPr>
      <t xml:space="preserve">If "Other" is selected as the Personalization Field Name, coordinate variable code with Epsilon.  Inizio to add code once aligned with Epsilon
</t>
    </r>
    <r>
      <rPr>
        <sz val="9.0"/>
      </rPr>
      <t>Pulls through to Epsilon/ACM Deployment Tab</t>
    </r>
  </si>
  <si>
    <t>Google Drive Folder for VAE's AFD File</t>
  </si>
  <si>
    <t xml:space="preserve">Default Name Personalization </t>
  </si>
  <si>
    <t>Default (or N/A if no "Name Personalization")</t>
  </si>
  <si>
    <t>5. Third Party Handoff</t>
  </si>
  <si>
    <r>
      <rPr>
        <b/>
        <color rgb="FF000000"/>
        <sz val="9.0"/>
      </rPr>
      <t>Default:</t>
    </r>
    <r>
      <rPr>
        <color rgb="FF000000"/>
        <sz val="9.0"/>
      </rPr>
      <t xml:space="preserve">
HCP FN/LN personalization default: Health Care Provider
Patient FN/LN personalization default: N/A (will not use a default for patients)
DEM to update if using something different. 
Pulls through to Epsilon/ACM Deployment Tab</t>
    </r>
  </si>
  <si>
    <t>Contact A Rep</t>
  </si>
  <si>
    <r>
      <rPr>
        <rFont val="Arial"/>
        <b/>
        <color rgb="FFFFFFFF"/>
        <sz val="10.0"/>
      </rPr>
      <t xml:space="preserve">ACCESSIBILITY: </t>
    </r>
    <r>
      <rPr>
        <rFont val="Arial"/>
        <b val="0"/>
        <color rgb="FFFFFFFF"/>
        <sz val="10.0"/>
      </rPr>
      <t xml:space="preserve">This section should only be completed for emails with visual accessibility as a focus. Discuss with your DEM prior to completing. </t>
    </r>
  </si>
  <si>
    <t>URL Format</t>
  </si>
  <si>
    <t>https://oneclick.interactive.genentech.com/?ProfileId=&lt;%= recipient.VariableField %&gt;&amp;BrandId=</t>
  </si>
  <si>
    <t>Standard format, do not update</t>
  </si>
  <si>
    <t>CAR Brand ID Mapping</t>
  </si>
  <si>
    <r>
      <rPr>
        <rFont val="Arial"/>
        <sz val="9.0"/>
      </rPr>
      <t xml:space="preserve">If Rep Connect CTA is included, Inizio to populate CAR Brand ID from the appropriate brand tab on the </t>
    </r>
    <r>
      <rPr>
        <rFont val="Arial"/>
        <color rgb="FF1155CC"/>
        <sz val="9.0"/>
        <u/>
      </rPr>
      <t>Mapping Document</t>
    </r>
    <r>
      <rPr>
        <rFont val="Arial"/>
        <sz val="9.0"/>
      </rPr>
      <t xml:space="preserve">
</t>
    </r>
    <r>
      <rPr>
        <rFont val="Arial"/>
        <b/>
        <sz val="9.0"/>
      </rPr>
      <t>Ensure there are no leading or trailing spaces</t>
    </r>
  </si>
  <si>
    <t>Final URL</t>
  </si>
  <si>
    <r>
      <rPr>
        <rFont val="Arial"/>
        <b/>
        <color rgb="FF000000"/>
        <sz val="9.0"/>
      </rPr>
      <t xml:space="preserve">Apply Hover State to Buttons
</t>
    </r>
    <r>
      <rPr>
        <rFont val="Arial"/>
        <i/>
        <color rgb="FF000000"/>
        <sz val="9.0"/>
      </rPr>
      <t>Note: Recommended for emails where visual accessibility is a priority</t>
    </r>
  </si>
  <si>
    <t>no</t>
  </si>
  <si>
    <t xml:space="preserve">If yes is selected, hover state will be applied to all buttons in email
Coordinate with DEM &amp; Inizio </t>
  </si>
  <si>
    <t>Final Rep Connect URL to be used. This value is populated on the Creative/Link Matrix/Alt Text tab</t>
  </si>
  <si>
    <t>VAE Development Details</t>
  </si>
  <si>
    <t xml:space="preserve">Hover State Color - Hex Value </t>
  </si>
  <si>
    <r>
      <rPr>
        <rFont val="Arial"/>
        <color rgb="FF000000"/>
        <sz val="9.0"/>
      </rPr>
      <t xml:space="preserve">Provide </t>
    </r>
    <r>
      <rPr>
        <rFont val="Arial"/>
        <b/>
        <color rgb="FF000000"/>
        <sz val="9.0"/>
        <u/>
      </rPr>
      <t>hex value</t>
    </r>
    <r>
      <rPr>
        <rFont val="Arial"/>
        <color rgb="FF000000"/>
        <sz val="9.0"/>
      </rPr>
      <t xml:space="preserve"> for the color that the buttons should be when hovered over. The pre-hover state color should be indicated in the PSD.
</t>
    </r>
    <r>
      <rPr>
        <rFont val="Arial"/>
        <i/>
        <color rgb="FF000000"/>
        <sz val="9.0"/>
      </rPr>
      <t>Example: #FF5733</t>
    </r>
  </si>
  <si>
    <t>LINK MATRIX</t>
  </si>
  <si>
    <r>
      <rPr>
        <rFont val="Arial"/>
        <b/>
        <color rgb="FF000000"/>
        <sz val="9.0"/>
      </rPr>
      <t xml:space="preserve">Text of Link 
</t>
    </r>
    <r>
      <rPr>
        <rFont val="Arial"/>
        <color rgb="FF000000"/>
        <sz val="9.0"/>
      </rPr>
      <t xml:space="preserve">Add/delete lines to capture all text links within the email. 
All links included below must be specified and present in your email and email fragments.
</t>
    </r>
    <r>
      <rPr>
        <rFont val="Arial"/>
        <color rgb="FFFF0000"/>
        <sz val="9.0"/>
      </rPr>
      <t>Image links should be added under alt text section.</t>
    </r>
  </si>
  <si>
    <r>
      <rPr>
        <rFont val="Arial"/>
        <b/>
        <color rgb="FF000000"/>
        <sz val="9.0"/>
      </rPr>
      <t xml:space="preserve">Final Destination URL 
</t>
    </r>
    <r>
      <rPr>
        <rFont val="Arial"/>
        <b val="0"/>
        <color rgb="FF000000"/>
        <sz val="9.0"/>
      </rPr>
      <t>Provide full URL of where the link drives to
Links should represent final destination and not redirect</t>
    </r>
    <r>
      <rPr>
        <rFont val="Arial"/>
        <b/>
        <color rgb="FF000000"/>
        <sz val="9.0"/>
      </rPr>
      <t xml:space="preserve">
</t>
    </r>
    <r>
      <rPr>
        <rFont val="Arial"/>
        <b val="0"/>
        <color rgb="FFFF0000"/>
        <sz val="9.0"/>
      </rPr>
      <t>Important: Indicate if Links are http:// or https://</t>
    </r>
  </si>
  <si>
    <r>
      <rPr>
        <rFont val="Arial"/>
        <b/>
        <color rgb="FF000000"/>
        <sz val="9.0"/>
      </rPr>
      <t xml:space="preserve">Link Location 
</t>
    </r>
    <r>
      <rPr>
        <rFont val="Arial"/>
        <b val="0"/>
        <color rgb="FF000000"/>
        <sz val="9.0"/>
      </rPr>
      <t xml:space="preserve">Indicate everywhere in the email an item should be linked. 
For email fragments, 
indicate the fragment # with the fragment name, e.g. "Fragment 1 Fragment Name"
</t>
    </r>
  </si>
  <si>
    <t>Text Links: Header</t>
  </si>
  <si>
    <t xml:space="preserve">VAE Email Asset Code </t>
  </si>
  <si>
    <t>[View in web browser]</t>
  </si>
  <si>
    <t>No action needed - Dev and deploy agency to manage</t>
  </si>
  <si>
    <t>Auto-populated from Program Details tab</t>
  </si>
  <si>
    <t>DO NOT REMOVE THIS LINE</t>
  </si>
  <si>
    <t>Inizio/
Epsilon</t>
  </si>
  <si>
    <t>PERJETA Prescribing Information</t>
  </si>
  <si>
    <t>https://www.gene.com/download/pdf/perjeta_prescribing.pdf</t>
  </si>
  <si>
    <t>PHESGO Prescribing Information</t>
  </si>
  <si>
    <t>VAE Tactic Code</t>
  </si>
  <si>
    <t>https://www.gene.com/download/pdf/phesgo_prescribing.pdf</t>
  </si>
  <si>
    <t>Inizio to populate VAE tactic code once created</t>
  </si>
  <si>
    <t>Inizio</t>
  </si>
  <si>
    <r>
      <rPr>
        <rFont val="Arial"/>
        <b/>
        <color rgb="FFFFFFFF"/>
        <sz val="10.0"/>
      </rPr>
      <t xml:space="preserve">Items to be completed for </t>
    </r>
    <r>
      <rPr>
        <rFont val="Arial"/>
        <b/>
        <color rgb="FFFFFFFF"/>
        <sz val="12.0"/>
      </rPr>
      <t xml:space="preserve">DEPLOY-HANDOFF
</t>
    </r>
    <r>
      <rPr>
        <rFont val="Arial"/>
        <b val="0"/>
        <color rgb="FFFFFFFF"/>
        <sz val="10.0"/>
      </rPr>
      <t>*AFD'd subject lines &amp; tactic codes for cadenced/real-time emails to be completed in the Fulfillment Details gSheet - "Fulfillment Matrix" tab.</t>
    </r>
  </si>
  <si>
    <t>Email Deployment Details</t>
  </si>
  <si>
    <t>Text Links: Body</t>
  </si>
  <si>
    <t>HCP Email Rating</t>
  </si>
  <si>
    <r>
      <rPr>
        <sz val="9.0"/>
      </rPr>
      <t>Provide rating for all HCP emails.
Leverage</t>
    </r>
    <r>
      <rPr>
        <color rgb="FF000000"/>
        <sz val="9.0"/>
      </rPr>
      <t xml:space="preserve"> </t>
    </r>
    <r>
      <rPr>
        <color rgb="FF000000"/>
        <sz val="9.0"/>
        <u/>
      </rPr>
      <t>this articl</t>
    </r>
    <r>
      <rPr>
        <sz val="9.0"/>
        <u/>
      </rPr>
      <t>e</t>
    </r>
    <r>
      <rPr>
        <sz val="9.0"/>
      </rPr>
      <t xml:space="preserve"> to identify your email's rating.  
</t>
    </r>
  </si>
  <si>
    <t>LEARN MORE ABOUT PHESGO</t>
  </si>
  <si>
    <t>https://www.phesgo-hcp.com/dosing/dosing-administration.html</t>
  </si>
  <si>
    <t>Event based email? If yes provide event date (future dates only)</t>
  </si>
  <si>
    <r>
      <rPr>
        <sz val="9.0"/>
      </rPr>
      <t>If Event based email mark yes and provide event date.</t>
    </r>
    <r>
      <rPr>
        <b/>
        <sz val="9.0"/>
      </rPr>
      <t xml:space="preserve"> Email continues to run for 30 days until all qualified HCPs have recieved unless it is an event based email wherein the email will run until 1 day prior to the event. </t>
    </r>
  </si>
  <si>
    <r>
      <rPr>
        <rFont val="Arial"/>
        <b/>
        <sz val="9.0"/>
      </rPr>
      <t xml:space="preserve">Ad Hoc FINAL House Email Deployment Subject Line A
</t>
    </r>
    <r>
      <rPr>
        <rFont val="Arial"/>
        <b val="0"/>
        <i/>
        <sz val="9.0"/>
      </rPr>
      <t>If no A/B test, use this line for Subject Line</t>
    </r>
  </si>
  <si>
    <t xml:space="preserve">Add this information post AFD </t>
  </si>
  <si>
    <t>EXPLORE CLEOPATRA STUDY</t>
  </si>
  <si>
    <t>https://www.perjeta-hcp.com/metastatic/trial-design.html</t>
  </si>
  <si>
    <t>Ad Hoc FINAL House Email Deployment Subject Line B</t>
  </si>
  <si>
    <t>Redeploy Subject Line</t>
  </si>
  <si>
    <t>Only populate if redeploy</t>
  </si>
  <si>
    <t xml:space="preserve">REMINDER: Review and update topic tags as needed </t>
  </si>
  <si>
    <r>
      <rPr>
        <b/>
        <sz val="9.0"/>
      </rPr>
      <t>REMINDER: Inizio to include CO/VT disclosure variable for all branded HCP emails, and CO/CT/VT disclaimer variable for all branded VAEs</t>
    </r>
    <r>
      <rPr>
        <b/>
        <sz val="9.0"/>
        <u/>
      </rPr>
      <t xml:space="preserve">
</t>
    </r>
    <r>
      <rPr>
        <b/>
        <sz val="9.0"/>
      </rPr>
      <t xml:space="preserve">For 3rd Party Email Handoffs - For all pill-based products (see </t>
    </r>
    <r>
      <rPr>
        <b/>
        <color rgb="FF1155CC"/>
        <sz val="9.0"/>
        <u/>
      </rPr>
      <t>https://www.drugpricinglaw.com/vt.html</t>
    </r>
    <r>
      <rPr>
        <b/>
        <sz val="9.0"/>
      </rPr>
      <t xml:space="preserve"> for full list) hardcode both VT and CO disclosures. For non-pill based products hardcode CO disclosure only.</t>
    </r>
  </si>
  <si>
    <t>Text Links: Rep Connect URL</t>
  </si>
  <si>
    <t>DEM Sign-Off on AD HOC EMAIL Deploy Ready</t>
  </si>
  <si>
    <r>
      <rPr>
        <rFont val="arial"/>
        <color rgb="FFFF0000"/>
        <sz val="9.0"/>
      </rPr>
      <t xml:space="preserve">Remove option that is not being used
</t>
    </r>
    <r>
      <rPr>
        <rFont val="arial"/>
        <color rgb="FF000000"/>
        <sz val="9.0"/>
      </rPr>
      <t>GET PERSONAL ASSISTANCE &gt;
REQUEST REP FOLLOW-UP &gt;</t>
    </r>
  </si>
  <si>
    <t>Add name and date of approval in column B</t>
  </si>
  <si>
    <t>VAE Email Deployment Details</t>
  </si>
  <si>
    <t>Hide or delete row if not using Rep Connect CTA
Remove if 3P Email</t>
  </si>
  <si>
    <t>https://www.gene.com/privacy-policy</t>
  </si>
  <si>
    <t>FINAL VAE Subject Line 1</t>
  </si>
  <si>
    <t>FINAL VAE Subject Line 2</t>
  </si>
  <si>
    <t>If not providing a second subject line option, leave blank</t>
  </si>
  <si>
    <t>FINAL VAE Subject Line 3</t>
  </si>
  <si>
    <t>If not providing a third subject line option, leave blank</t>
  </si>
  <si>
    <t>Text Links: Safety</t>
  </si>
  <si>
    <t>www.fda.gov/medwatch</t>
  </si>
  <si>
    <r>
      <rPr>
        <sz val="9.0"/>
      </rPr>
      <t xml:space="preserve">Auto-populated from Creative/Link Matrix/Alt Text tab
For additional info refer to </t>
    </r>
    <r>
      <rPr>
        <color rgb="FF1155CC"/>
        <sz val="9.0"/>
        <u/>
      </rPr>
      <t>this article</t>
    </r>
    <r>
      <rPr>
        <sz val="9.0"/>
      </rPr>
      <t xml:space="preserve"> on How to Name Your VAE Template</t>
    </r>
  </si>
  <si>
    <t>https://www.fda.gov/safety/medwatch-fda-safety-information-and-adverse- 
event-reporting-program</t>
  </si>
  <si>
    <t>1-800-FDA-1088</t>
  </si>
  <si>
    <t>tel:1-800-332-1088</t>
  </si>
  <si>
    <t>1-888-835-2555</t>
  </si>
  <si>
    <t>tel:1-888-835-2555</t>
  </si>
  <si>
    <t>Full Prescribing Information</t>
  </si>
  <si>
    <t>https://www.fda.gov/safety/medwatch-fda-safety-information-and-adverse- event-reporting-program</t>
  </si>
  <si>
    <t>DEM Sign-Off on VAE Deploy Ready</t>
  </si>
  <si>
    <t>Text Links: Footer</t>
  </si>
  <si>
    <t>Privacy Policy</t>
  </si>
  <si>
    <t>Terms and Conditions</t>
  </si>
  <si>
    <t>https://www.gene.com/terms-conditions</t>
  </si>
  <si>
    <t>Contact Us</t>
  </si>
  <si>
    <t>https://www.gene.com/contact-us</t>
  </si>
  <si>
    <r>
      <rPr>
        <rFont val="Arial"/>
        <sz val="9.0"/>
      </rPr>
      <t xml:space="preserve">Unsubscribe - </t>
    </r>
    <r>
      <rPr>
        <rFont val="Arial"/>
        <b/>
        <sz val="9.0"/>
      </rPr>
      <t>House</t>
    </r>
    <r>
      <rPr>
        <rFont val="Arial"/>
        <sz val="9.0"/>
      </rPr>
      <t xml:space="preserve"> </t>
    </r>
    <r>
      <rPr>
        <rFont val="Arial"/>
        <b/>
        <sz val="9.0"/>
      </rPr>
      <t>HCP</t>
    </r>
    <r>
      <rPr>
        <rFont val="Arial"/>
        <sz val="9.0"/>
      </rPr>
      <t xml:space="preserve"> </t>
    </r>
    <r>
      <rPr>
        <rFont val="Arial"/>
        <b/>
        <sz val="9.0"/>
      </rPr>
      <t>Email Adhoc/Cadenced</t>
    </r>
  </si>
  <si>
    <t>https://interactive.genentech.com/subscription/?email=&lt;%= recipient.email %&gt;&amp;prog-code=&lt;%= message.delivery.progCode %&gt;</t>
  </si>
  <si>
    <t>Deployment Details</t>
  </si>
  <si>
    <r>
      <rPr>
        <rFont val="Arial"/>
        <b/>
        <sz val="9.0"/>
      </rPr>
      <t>House HCP</t>
    </r>
    <r>
      <rPr>
        <rFont val="Arial"/>
        <sz val="9.0"/>
      </rPr>
      <t xml:space="preserve"> </t>
    </r>
    <r>
      <rPr>
        <rFont val="Arial"/>
        <b/>
        <sz val="9.0"/>
      </rPr>
      <t>Ad Hoc/Cadenced</t>
    </r>
    <r>
      <rPr>
        <rFont val="Arial"/>
        <sz val="9.0"/>
      </rPr>
      <t xml:space="preserve"> Only</t>
    </r>
  </si>
  <si>
    <t>Text Version</t>
  </si>
  <si>
    <t>Inizio to populate, DEM to validate</t>
  </si>
  <si>
    <r>
      <rPr>
        <rFont val="Arial"/>
        <sz val="9.0"/>
      </rPr>
      <t xml:space="preserve">Unsubscribe - </t>
    </r>
    <r>
      <rPr>
        <rFont val="Arial"/>
        <b/>
        <sz val="9.0"/>
      </rPr>
      <t>Veeva Approved Emails (VAEs)</t>
    </r>
  </si>
  <si>
    <t>{{unsubscribe_product_link[,CommercialEmailUnsubscribe]}}</t>
  </si>
  <si>
    <t xml:space="preserve">Rules </t>
  </si>
  <si>
    <t>Auto-populated from Production Details tab</t>
  </si>
  <si>
    <r>
      <rPr>
        <rFont val="Arial"/>
        <b/>
        <sz val="9.0"/>
      </rPr>
      <t>VAE</t>
    </r>
    <r>
      <rPr>
        <rFont val="Arial"/>
        <sz val="9.0"/>
      </rPr>
      <t xml:space="preserve"> Only </t>
    </r>
  </si>
  <si>
    <r>
      <rPr>
        <rFont val="Arial"/>
        <sz val="9.0"/>
      </rPr>
      <t xml:space="preserve">Unsubscribe - </t>
    </r>
    <r>
      <rPr>
        <rFont val="Arial"/>
        <b/>
        <sz val="9.0"/>
      </rPr>
      <t>House</t>
    </r>
    <r>
      <rPr>
        <rFont val="Arial"/>
        <sz val="9.0"/>
      </rPr>
      <t xml:space="preserve"> </t>
    </r>
    <r>
      <rPr>
        <rFont val="Arial"/>
        <b/>
        <sz val="9.0"/>
      </rPr>
      <t>HCP</t>
    </r>
    <r>
      <rPr>
        <rFont val="Arial"/>
        <sz val="9.0"/>
      </rPr>
      <t xml:space="preserve"> </t>
    </r>
    <r>
      <rPr>
        <rFont val="Arial"/>
        <b/>
        <sz val="9.0"/>
      </rPr>
      <t>Email</t>
    </r>
    <r>
      <rPr>
        <rFont val="Arial"/>
        <sz val="9.0"/>
      </rPr>
      <t xml:space="preserve"> </t>
    </r>
    <r>
      <rPr>
        <rFont val="Arial"/>
        <b/>
        <sz val="9.0"/>
      </rPr>
      <t>Real-Time</t>
    </r>
  </si>
  <si>
    <t>https://interactive.genentech.com/subscription/?email=&lt;%= rtEvent.email %&gt;&amp;prog-code=&lt;%= rtEvent.delivery.progCode %&gt;</t>
  </si>
  <si>
    <r>
      <rPr>
        <rFont val="Arial"/>
        <b/>
        <sz val="9.0"/>
      </rPr>
      <t>House HCP Real-Time</t>
    </r>
    <r>
      <rPr>
        <rFont val="Arial"/>
        <sz val="9.0"/>
      </rPr>
      <t xml:space="preserve"> Only</t>
    </r>
  </si>
  <si>
    <t>GNE Validation / Links &amp; Alt-Tags Matrix - DEM Owner
All relevant fields must be complete and accurate prior to DEV-READY HANDOFF, and AFD'd and validated prior to DEPLOY-READY HANDOFF</t>
  </si>
  <si>
    <r>
      <rPr>
        <rFont val="Arial"/>
        <sz val="9.0"/>
      </rPr>
      <t xml:space="preserve">Unsubscribe - </t>
    </r>
    <r>
      <rPr>
        <rFont val="Arial"/>
        <b/>
        <sz val="9.0"/>
      </rPr>
      <t>Speaker Bureau Invite</t>
    </r>
    <r>
      <rPr>
        <rFont val="Arial"/>
        <sz val="9.0"/>
      </rPr>
      <t xml:space="preserve"> </t>
    </r>
    <r>
      <rPr>
        <rFont val="Arial"/>
        <b/>
        <sz val="9.0"/>
      </rPr>
      <t>Emails</t>
    </r>
  </si>
  <si>
    <t>https://unsubscribe.genentech.com/?source=speaker-bureau</t>
  </si>
  <si>
    <t>Inizio/Epsilon to coordinate variables
Auto-populated from Production Details tab.</t>
  </si>
  <si>
    <t>Email Specifics</t>
  </si>
  <si>
    <t>If not matching AFD file, Epsilon tag Inizio to update</t>
  </si>
  <si>
    <r>
      <rPr>
        <rFont val="Arial"/>
        <b/>
        <color rgb="FFFFFFFF"/>
        <sz val="9.0"/>
      </rPr>
      <t xml:space="preserve">Answers 
</t>
    </r>
    <r>
      <rPr>
        <rFont val="Arial"/>
        <b val="0"/>
        <color rgb="FFFFFFFF"/>
        <sz val="9.0"/>
      </rPr>
      <t>DO NOT POPULATE - Answers in grey cells are autopopulated from other tabs</t>
    </r>
  </si>
  <si>
    <r>
      <rPr>
        <rFont val="Arial"/>
        <b/>
        <sz val="9.0"/>
      </rPr>
      <t xml:space="preserve">Speaker Bureau Invites </t>
    </r>
    <r>
      <rPr>
        <rFont val="Arial"/>
        <sz val="9.0"/>
      </rPr>
      <t>Only</t>
    </r>
  </si>
  <si>
    <t>ALT-TEXT</t>
  </si>
  <si>
    <r>
      <rPr>
        <rFont val="Arial"/>
        <b/>
        <color rgb="FF000000"/>
        <sz val="9.0"/>
      </rPr>
      <t xml:space="preserve">Images 
</t>
    </r>
    <r>
      <rPr>
        <rFont val="Arial"/>
        <color rgb="FF000000"/>
        <sz val="9.0"/>
      </rPr>
      <t>Add/delete lines to capture all images larger than an icon within the email and email fragments. 
All images must be specified and present in your email.</t>
    </r>
  </si>
  <si>
    <r>
      <rPr>
        <rFont val="Arial"/>
        <b/>
        <color rgb="FF000000"/>
        <sz val="9.0"/>
      </rPr>
      <t xml:space="preserve">ALT-TEXT 
</t>
    </r>
    <r>
      <rPr>
        <rFont val="Arial"/>
        <b/>
        <color rgb="FFFF0000"/>
        <sz val="9.0"/>
      </rPr>
      <t xml:space="preserve">
</t>
    </r>
    <r>
      <rPr>
        <rFont val="Arial"/>
        <b val="0"/>
        <color rgb="FFFF0000"/>
        <sz val="9.0"/>
      </rPr>
      <t>Must be AFD'd if different than image</t>
    </r>
    <r>
      <rPr>
        <rFont val="Arial"/>
        <b/>
        <color rgb="FFFF0000"/>
        <sz val="9.0"/>
      </rPr>
      <t xml:space="preserve">
</t>
    </r>
    <r>
      <rPr>
        <rFont val="Arial"/>
        <b val="0"/>
        <color rgb="FF000000"/>
        <sz val="9.0"/>
      </rPr>
      <t xml:space="preserve">~5-7 words max. 15 characters or less for logo/small images and 
35 characters or less for larger images. Spaces count towards character limit.
</t>
    </r>
  </si>
  <si>
    <t>Character Count</t>
  </si>
  <si>
    <r>
      <rPr>
        <sz val="9.0"/>
      </rPr>
      <t xml:space="preserve">Standard name personalization code: </t>
    </r>
    <r>
      <rPr>
        <color rgb="FF1155CC"/>
        <sz val="9.0"/>
        <u/>
      </rPr>
      <t xml:space="preserve">AEM- Email Development Variables
</t>
    </r>
    <r>
      <rPr>
        <b/>
        <sz val="9.0"/>
      </rPr>
      <t xml:space="preserve">If "Other" is selected as the Personalization Field Name, coordinate variable code with Epsilon
</t>
    </r>
    <r>
      <rPr>
        <sz val="9.0"/>
      </rPr>
      <t>Auto-populated from Production Details tab</t>
    </r>
  </si>
  <si>
    <r>
      <rPr>
        <rFont val="Arial"/>
        <b/>
        <color rgb="FF000000"/>
        <sz val="9.0"/>
      </rPr>
      <t xml:space="preserve">IMAGE Link
</t>
    </r>
    <r>
      <rPr>
        <rFont val="Arial"/>
        <color rgb="FF000000"/>
        <sz val="9.0"/>
      </rPr>
      <t xml:space="preserve">If image should be linked, indicate destination URL
</t>
    </r>
    <r>
      <rPr>
        <rFont val="Arial"/>
        <color rgb="FFFF0000"/>
        <sz val="9.0"/>
      </rPr>
      <t>Important: Indicate if Links are http:// or https://</t>
    </r>
    <r>
      <rPr>
        <rFont val="Arial"/>
        <color rgb="FF000000"/>
        <sz val="9.0"/>
      </rPr>
      <t xml:space="preserve">
</t>
    </r>
    <r>
      <rPr>
        <rFont val="Arial"/>
        <color rgb="FFFF0000"/>
        <sz val="9.0"/>
      </rPr>
      <t>Link is required for hero images</t>
    </r>
  </si>
  <si>
    <r>
      <rPr>
        <rFont val="Arial"/>
        <b/>
        <color rgb="FF000000"/>
        <sz val="9.0"/>
      </rPr>
      <t xml:space="preserve">Image Location 
</t>
    </r>
    <r>
      <rPr>
        <rFont val="Arial"/>
        <color rgb="FF000000"/>
        <sz val="9.0"/>
      </rPr>
      <t>Indicate everywhere in the email an item should be tagged.
For email fragments, 
indicate the fragment # with the fragment name, e.g. "Fragment 1 Fragment Name"</t>
    </r>
  </si>
  <si>
    <t>Perjeta Logo</t>
  </si>
  <si>
    <t>PERJETA (pertuzumab) 420 mg injection, for intravenous use</t>
  </si>
  <si>
    <t xml:space="preserve">Ad Hoc Validation </t>
  </si>
  <si>
    <t>Inizio/Epsilon</t>
  </si>
  <si>
    <r>
      <rPr>
        <rFont val="Arial"/>
        <b/>
        <sz val="9.0"/>
      </rPr>
      <t xml:space="preserve">Ad Hoc FINAL House Email Deployment Subject Line A
</t>
    </r>
    <r>
      <rPr>
        <rFont val="Arial"/>
        <b val="0"/>
        <i/>
        <sz val="9.0"/>
      </rPr>
      <t>If no A/B test, use this line for Subject Line</t>
    </r>
  </si>
  <si>
    <t>https://www.perjeta-hcp.com/</t>
  </si>
  <si>
    <r>
      <rPr>
        <sz val="10.0"/>
      </rPr>
      <t xml:space="preserve">Auto-populated from Production Details tab.
</t>
    </r>
    <r>
      <rPr>
        <color rgb="FF4A86E8"/>
        <sz val="10.0"/>
      </rPr>
      <t>HCP FN/LN personalization default: Health Care Provider
Patient FN/LN personalization default: N/A (will not use a default for patients)</t>
    </r>
  </si>
  <si>
    <t xml:space="preserve">Pulled from Production Details tab </t>
  </si>
  <si>
    <t>Dynamic Content</t>
  </si>
  <si>
    <t>Phesgo Logo</t>
  </si>
  <si>
    <t>PHESGO (pertuzumab, trastuzumab, 
and hyaluronidase-zzxf) injection, 
for subcutaneous use</t>
  </si>
  <si>
    <r>
      <rPr>
        <rFont val="Arial"/>
        <b/>
        <sz val="9.0"/>
      </rPr>
      <t xml:space="preserve">Ad Hoc Subject Line W
</t>
    </r>
    <r>
      <rPr>
        <rFont val="Arial"/>
        <b val="0"/>
        <sz val="9.0"/>
      </rPr>
      <t>Winning subject line from A/B test</t>
    </r>
  </si>
  <si>
    <t>https://www.phesgo-hcp.com/</t>
  </si>
  <si>
    <t>Auto-populated from Program Details</t>
  </si>
  <si>
    <t xml:space="preserve">Pulled from Deployment Details tab </t>
  </si>
  <si>
    <t>PERJETA + Herceptin® (trastuzumab) or PHESGO + docetaxel dosing schedule Graphic</t>
  </si>
  <si>
    <t>Only populated for redeploys</t>
  </si>
  <si>
    <t>Dosing schedule graph</t>
  </si>
  <si>
    <r>
      <rPr>
        <b/>
        <sz val="9.0"/>
      </rPr>
      <t xml:space="preserve">Ad Hoc Tactic Code A
</t>
    </r>
    <r>
      <rPr>
        <b val="0"/>
        <i/>
        <sz val="9.0"/>
      </rPr>
      <t>If no A/B test, use this line</t>
    </r>
  </si>
  <si>
    <t>Auto-populated from Program Details. Discuss with DEM if there is any concern.</t>
  </si>
  <si>
    <r>
      <rPr>
        <rFont val="Arial"/>
        <b/>
        <sz val="10.0"/>
      </rPr>
      <t xml:space="preserve">Max number of Dynamic Content Variables is 50. </t>
    </r>
    <r>
      <rPr>
        <rFont val="Arial"/>
        <sz val="10.0"/>
      </rPr>
      <t xml:space="preserve">
</t>
    </r>
    <r>
      <rPr>
        <rFont val="Arial"/>
        <i/>
        <color rgb="FF45818E"/>
        <sz val="10.0"/>
      </rPr>
      <t>Example: 26</t>
    </r>
  </si>
  <si>
    <t>FINAL Dynamic Content Variables Count</t>
  </si>
  <si>
    <t>Pulled from Deploymet Details tab 
If no A/B, this line is the tactic code</t>
  </si>
  <si>
    <t>Ad Hoc Tactic Code B</t>
  </si>
  <si>
    <t>Email AM to populate once final count has been determined after dynamic content fields have been shared by DEM</t>
  </si>
  <si>
    <t>Epsilon</t>
  </si>
  <si>
    <t>Incidence of ARs decreased after docetaxel discontinuation Bar Graph</t>
  </si>
  <si>
    <r>
      <rPr>
        <rFont val="Arial"/>
        <b/>
        <sz val="10.0"/>
      </rPr>
      <t xml:space="preserve">Max number of Dynamic Content Variables is 50. </t>
    </r>
    <r>
      <rPr>
        <rFont val="Arial"/>
        <sz val="10.0"/>
      </rPr>
      <t xml:space="preserve">
</t>
    </r>
    <r>
      <rPr>
        <rFont val="Arial"/>
        <i/>
        <color rgb="FF45818E"/>
        <sz val="10.0"/>
      </rPr>
      <t>Example: 26</t>
    </r>
  </si>
  <si>
    <t>Pulled from Deploymet Details tab</t>
  </si>
  <si>
    <t>Bar graph</t>
  </si>
  <si>
    <t>Dynamic Content Criteria (Code)</t>
  </si>
  <si>
    <r>
      <rPr>
        <rFont val="Arial"/>
        <b/>
        <sz val="9.0"/>
      </rPr>
      <t xml:space="preserve">Ad Hoc Tactic Code W
</t>
    </r>
    <r>
      <rPr>
        <rFont val="Arial"/>
        <b val="0"/>
        <sz val="9.0"/>
      </rPr>
      <t>Tactic code for winner deployment from A/B test</t>
    </r>
  </si>
  <si>
    <t>Superior Survival Shown in Cleopatra graphic</t>
  </si>
  <si>
    <t>Graph</t>
  </si>
  <si>
    <t>Ad Hoc Redeploy Tactic Code</t>
  </si>
  <si>
    <t>Genentech Logo</t>
  </si>
  <si>
    <t>https://www.gene.com/</t>
  </si>
  <si>
    <t>Pulled from Deployment Details tab 
Only populated for redeploys</t>
  </si>
  <si>
    <t>Links to "Dynamic Variable Codes" tab</t>
  </si>
  <si>
    <t>Pulled from Creative/Link Matrix/Alt Text tab</t>
  </si>
  <si>
    <t>Personalization Field Name</t>
  </si>
  <si>
    <t>Codes can be lengthy, therefore there is a separate tab in this ERB where the codes will be input by Epsilon; that tab is linked here</t>
  </si>
  <si>
    <t xml:space="preserve">Default Personalization </t>
  </si>
  <si>
    <t>Epsilon can only complete once Dynamic Content fields have been provided</t>
  </si>
  <si>
    <t>Dynamic Content Test Plan</t>
  </si>
  <si>
    <r>
      <rPr>
        <rFont val="Arial"/>
        <b/>
        <color rgb="FF000000"/>
        <sz val="9.0"/>
      </rPr>
      <t xml:space="preserve">Apply Hover State to Buttons
</t>
    </r>
    <r>
      <rPr>
        <rFont val="Arial"/>
        <i/>
        <color rgb="FF000000"/>
        <sz val="9.0"/>
      </rPr>
      <t>Note: Recommended for emails where visual accessibility is a priority</t>
    </r>
  </si>
  <si>
    <t>&lt;Link to test case gSheet&gt;</t>
  </si>
  <si>
    <t>Campaign AM to link here once shared with DEM</t>
  </si>
  <si>
    <t>Engine Details</t>
  </si>
  <si>
    <t>Pulled from Creative/Link Matrix/Alt Text tab
Only populated when emails are focused on visual accessibility</t>
  </si>
  <si>
    <t xml:space="preserve">VAE Specifics </t>
  </si>
  <si>
    <r>
      <rPr>
        <rFont val="Arial"/>
        <b/>
        <color rgb="FFFFFFFF"/>
        <sz val="9.0"/>
      </rPr>
      <t xml:space="preserve">Answers
</t>
    </r>
    <r>
      <rPr>
        <rFont val="Arial"/>
        <b val="0"/>
        <color rgb="FFF4CCCC"/>
        <sz val="9.0"/>
      </rPr>
      <t>DO NOT POPULATE - Answers in grey cells are autopopulated from other tabs</t>
    </r>
  </si>
  <si>
    <t>Google Drive Folder for VAE Email's AFD File</t>
  </si>
  <si>
    <t>Pulled from Production Details tab 
This is what will appear in the VAE that field users will see.</t>
  </si>
  <si>
    <t>Subject Lines</t>
  </si>
  <si>
    <t>Epsilon to populate this tab based on details provided in the Project Brief/ERB</t>
  </si>
  <si>
    <r>
      <rPr>
        <rFont val="Arial"/>
        <b/>
        <sz val="10.0"/>
      </rPr>
      <t xml:space="preserve">Ad Hoc FINAL House Email Deployment Subject Line A
</t>
    </r>
    <r>
      <rPr>
        <rFont val="Arial"/>
        <b val="0"/>
        <i/>
        <sz val="10.0"/>
      </rPr>
      <t>If no A/B test, use this line for Subject Line</t>
    </r>
  </si>
  <si>
    <t>Auto-populated from Production Details tab.</t>
  </si>
  <si>
    <r>
      <rPr>
        <rFont val="Arial"/>
        <b/>
        <sz val="10.0"/>
      </rPr>
      <t xml:space="preserve">Ad Hoc Subject Line W
</t>
    </r>
    <r>
      <rPr>
        <rFont val="Arial"/>
        <b val="0"/>
        <sz val="10.0"/>
      </rPr>
      <t>Winning subject line from A/B test</t>
    </r>
  </si>
  <si>
    <t xml:space="preserve">Target Audience </t>
  </si>
  <si>
    <r>
      <rPr>
        <rFont val="Arial"/>
        <b/>
        <color rgb="FF000000"/>
        <sz val="10.0"/>
      </rPr>
      <t>Override</t>
    </r>
    <r>
      <rPr>
        <rFont val="Arial"/>
        <b/>
        <color rgb="FFFF00FF"/>
        <sz val="10.0"/>
      </rPr>
      <t xml:space="preserve"> </t>
    </r>
    <r>
      <rPr>
        <rFont val="Arial"/>
        <b/>
        <color rgb="FF000000"/>
        <sz val="10.0"/>
      </rPr>
      <t xml:space="preserve">Domain 'Email Type' Suppression?
</t>
    </r>
    <r>
      <rPr>
        <rFont val="Arial"/>
        <b val="0"/>
        <color rgb="FF000000"/>
        <sz val="10.0"/>
      </rPr>
      <t>(N/A for VAE)</t>
    </r>
    <r>
      <rPr>
        <rFont val="Arial"/>
        <b/>
        <color rgb="FF000000"/>
        <sz val="10.0"/>
      </rPr>
      <t xml:space="preserve">
</t>
    </r>
    <r>
      <rPr>
        <rFont val="Arial"/>
        <b val="0"/>
        <i/>
        <color rgb="FF000000"/>
        <sz val="10.0"/>
      </rPr>
      <t>Should be 'No' unless this is a PAYUHCPRM or Cross-Portfolio safety and disaster email deployment that requires an exception</t>
    </r>
  </si>
  <si>
    <t>Auto-populated from Program Details tab. Discuss with DEM if there is any concern.</t>
  </si>
  <si>
    <t>If this is a PAYUHCPRM or Cross-Portfolio safety and disaster email deployment and DEM is unsure if it should have an exception to this suppression, DEM should partner with XO Leadership</t>
  </si>
  <si>
    <r>
      <rPr>
        <rFont val="Arial"/>
        <b/>
        <color rgb="FF000000"/>
        <sz val="10.0"/>
      </rPr>
      <t xml:space="preserve">Ad Hoc List or CDP Audience Activation?
</t>
    </r>
    <r>
      <rPr>
        <rFont val="Arial"/>
        <b val="0"/>
        <i/>
        <color rgb="FF000000"/>
        <sz val="10.0"/>
      </rPr>
      <t>Omni use cases will always use CDP and will not use an ad hoc list</t>
    </r>
  </si>
  <si>
    <r>
      <rPr>
        <rFont val="Arial"/>
        <b/>
        <sz val="10.0"/>
      </rPr>
      <t xml:space="preserve">Ad Hoc List Name
</t>
    </r>
    <r>
      <rPr>
        <rFont val="Arial"/>
        <b val="0"/>
        <sz val="10.0"/>
      </rPr>
      <t>(N/A for VAEs &amp;</t>
    </r>
    <r>
      <rPr>
        <rFont val="Arial"/>
        <b val="0"/>
        <sz val="10.0"/>
      </rPr>
      <t xml:space="preserve"> CDP Audience Activation)</t>
    </r>
  </si>
  <si>
    <r>
      <rPr>
        <rFont val="Arial"/>
        <b/>
        <sz val="10.0"/>
      </rPr>
      <t xml:space="preserve">Ad Hoc Fulfillment Rules
</t>
    </r>
    <r>
      <rPr>
        <rFont val="Arial"/>
        <b val="0"/>
        <sz val="10.0"/>
      </rPr>
      <t xml:space="preserve">(N/A for VAEs &amp; </t>
    </r>
    <r>
      <rPr>
        <rFont val="Arial"/>
        <b val="0"/>
        <sz val="10.0"/>
      </rPr>
      <t>CDP Audience Activation</t>
    </r>
    <r>
      <rPr>
        <rFont val="Arial"/>
        <b val="0"/>
        <sz val="10.0"/>
      </rPr>
      <t>)</t>
    </r>
  </si>
  <si>
    <r>
      <rPr>
        <rFont val="Arial"/>
        <b/>
        <sz val="10.0"/>
      </rPr>
      <t xml:space="preserve">Slug Value to Tactic Code
</t>
    </r>
    <r>
      <rPr>
        <rFont val="Arial"/>
        <b val="0"/>
        <sz val="10.0"/>
      </rPr>
      <t>(N/A for Ad Hoc Lists &amp; VAEs)</t>
    </r>
  </si>
  <si>
    <t>CDP AM to populate</t>
  </si>
  <si>
    <t>Codes</t>
  </si>
  <si>
    <t>Auto-populated from Program Details tab.</t>
  </si>
  <si>
    <t>Plan Code</t>
  </si>
  <si>
    <t>Plan Description</t>
  </si>
  <si>
    <t>Program Code</t>
  </si>
  <si>
    <t>Program Description</t>
  </si>
  <si>
    <t>Auto-populated from Program/Email Details tab</t>
  </si>
  <si>
    <r>
      <rPr>
        <b/>
        <sz val="10.0"/>
      </rPr>
      <t xml:space="preserve">Ad Hoc Tactic Code A
</t>
    </r>
    <r>
      <rPr>
        <b val="0"/>
        <i/>
        <sz val="10.0"/>
      </rPr>
      <t>If no A/B test, use this line</t>
    </r>
  </si>
  <si>
    <r>
      <rPr>
        <rFont val="Arial"/>
        <b/>
        <sz val="10.0"/>
      </rPr>
      <t xml:space="preserve">Ad Hoc Tactic Code W
</t>
    </r>
    <r>
      <rPr>
        <rFont val="Arial"/>
        <b val="0"/>
        <sz val="10.0"/>
      </rPr>
      <t>Tactic code for winner deployment from A/B test</t>
    </r>
  </si>
</sst>
</file>

<file path=xl/styles.xml><?xml version="1.0" encoding="utf-8"?>
<styleSheet xmlns="http://schemas.openxmlformats.org/spreadsheetml/2006/main" xmlns:x14ac="http://schemas.microsoft.com/office/spreadsheetml/2009/9/ac" xmlns:mc="http://schemas.openxmlformats.org/markup-compatibility/2006">
  <fonts count="87">
    <font>
      <sz val="10.0"/>
      <color rgb="FF000000"/>
      <name val="Arial"/>
    </font>
    <font>
      <b/>
      <color rgb="FFFFFFFF"/>
    </font>
    <font>
      <i/>
      <sz val="9.0"/>
      <color rgb="FFFFFFFF"/>
    </font>
    <font>
      <b/>
      <color rgb="FF000000"/>
      <name val="Arial"/>
    </font>
    <font>
      <b/>
      <sz val="9.0"/>
      <color rgb="FFFFFFFF"/>
      <name val="Arial"/>
    </font>
    <font>
      <b/>
      <sz val="10.0"/>
    </font>
    <font>
      <b/>
      <sz val="9.0"/>
      <color rgb="FFFFFFFF"/>
    </font>
    <font>
      <b/>
      <sz val="12.0"/>
    </font>
    <font>
      <sz val="12.0"/>
      <color rgb="FF000000"/>
      <name val="Arial"/>
    </font>
    <font>
      <b/>
      <sz val="10.0"/>
      <color rgb="FFFFFFFF"/>
    </font>
    <font>
      <i/>
      <name val="Arial"/>
    </font>
    <font>
      <b/>
      <sz val="9.0"/>
    </font>
    <font>
      <name val="Arial"/>
    </font>
    <font>
      <sz val="9.0"/>
      <color rgb="FF9900FF"/>
      <name val="Arial"/>
    </font>
    <font>
      <sz val="9.0"/>
    </font>
    <font/>
    <font>
      <b/>
      <color rgb="FF000000"/>
    </font>
    <font>
      <i/>
      <u/>
      <color rgb="FF0000FF"/>
      <name val="Arial"/>
    </font>
    <font>
      <u/>
      <sz val="9.0"/>
      <color rgb="FF0000FF"/>
      <name val="Arial"/>
    </font>
    <font>
      <b/>
      <sz val="9.0"/>
      <name val="Arial"/>
    </font>
    <font>
      <sz val="9.0"/>
      <name val="Arial"/>
    </font>
    <font>
      <i/>
      <color rgb="FFFF0000"/>
      <name val="Arial"/>
    </font>
    <font>
      <sz val="9.0"/>
      <color rgb="FF9900FF"/>
    </font>
    <font>
      <sz val="12.0"/>
    </font>
    <font>
      <b/>
      <sz val="10.0"/>
      <color rgb="FF000000"/>
      <name val="Arial"/>
    </font>
    <font>
      <u/>
      <sz val="9.0"/>
      <color rgb="FF0000FF"/>
    </font>
    <font>
      <sz val="9.0"/>
      <color rgb="FF000000"/>
      <name val="Inconsolata"/>
    </font>
    <font>
      <sz val="9.0"/>
      <color rgb="FF000000"/>
      <name val="'Arial'"/>
    </font>
    <font>
      <i/>
      <color rgb="FF000000"/>
      <name val="Arial"/>
    </font>
    <font>
      <u/>
      <sz val="9.0"/>
      <color rgb="FF0000FF"/>
      <name val="Arial"/>
    </font>
    <font>
      <b/>
      <sz val="9.0"/>
      <color rgb="FF000000"/>
    </font>
    <font>
      <u/>
      <sz val="9.0"/>
      <color rgb="FF000000"/>
      <name val="Inconsolata"/>
    </font>
    <font>
      <b/>
      <name val="Arial"/>
    </font>
    <font>
      <sz val="9.0"/>
      <color rgb="FF000000"/>
    </font>
    <font>
      <b/>
      <sz val="11.0"/>
    </font>
    <font>
      <sz val="11.0"/>
      <color rgb="FF000000"/>
      <name val="Arial"/>
    </font>
    <font>
      <b/>
      <sz val="9.0"/>
      <color rgb="FF000000"/>
      <name val="Roboto"/>
    </font>
    <font>
      <u/>
      <sz val="9.0"/>
      <color rgb="FF000000"/>
    </font>
    <font>
      <u/>
      <sz val="9.0"/>
      <color rgb="FF1155CC"/>
    </font>
    <font>
      <sz val="10.0"/>
    </font>
    <font>
      <b/>
      <sz val="9.0"/>
      <color rgb="FF000000"/>
      <name val="Arial"/>
    </font>
    <font>
      <b/>
      <sz val="10.0"/>
      <name val="Arial"/>
    </font>
    <font>
      <sz val="11.0"/>
      <name val="Arial"/>
    </font>
    <font>
      <sz val="9.0"/>
      <color rgb="FF000000"/>
      <name val="Arial"/>
    </font>
    <font>
      <u/>
      <sz val="9.0"/>
      <color rgb="FF0000FF"/>
      <name val="Arial"/>
    </font>
    <font>
      <i/>
      <sz val="9.0"/>
      <color rgb="FF9900FF"/>
      <name val="Arial"/>
    </font>
    <font>
      <u/>
      <sz val="9.0"/>
      <color rgb="FF000000"/>
    </font>
    <font>
      <u/>
      <sz val="9.0"/>
      <color rgb="FF0000FF"/>
    </font>
    <font>
      <u/>
      <sz val="9.0"/>
      <color rgb="FF0000FF"/>
    </font>
    <font>
      <b/>
      <sz val="10.0"/>
      <color rgb="FFFFFFFF"/>
      <name val="Arial"/>
    </font>
    <font>
      <sz val="9.0"/>
      <color rgb="FF0000FF"/>
      <name val="Arial"/>
    </font>
    <font>
      <u/>
      <sz val="9.0"/>
      <color rgb="FF000000"/>
      <name val="Inconsolata"/>
    </font>
    <font>
      <sz val="9.0"/>
      <color rgb="FFFF0000"/>
      <name val="Arial"/>
    </font>
    <font>
      <u/>
      <sz val="9.0"/>
      <color rgb="FF1155CC"/>
      <name val="Arial"/>
    </font>
    <font>
      <u/>
      <sz val="9.0"/>
      <color rgb="FF000000"/>
      <name val="Arial"/>
    </font>
    <font>
      <u/>
      <sz val="9.0"/>
      <color rgb="FF000000"/>
      <name val="Arial"/>
    </font>
    <font>
      <u/>
      <sz val="9.0"/>
      <color rgb="FF0000FF"/>
    </font>
    <font>
      <u/>
      <sz val="9.0"/>
      <color rgb="FF1155CC"/>
      <name val="&quot;arial&quot;"/>
    </font>
    <font>
      <u/>
      <sz val="9.0"/>
      <color rgb="FF000000"/>
      <name val="Arial"/>
    </font>
    <font>
      <b/>
      <u/>
      <sz val="9.0"/>
      <color rgb="FF0000FF"/>
    </font>
    <font>
      <u/>
      <sz val="9.0"/>
      <color rgb="FF0000FF"/>
      <name val="Arial"/>
    </font>
    <font>
      <u/>
      <sz val="9.0"/>
      <color rgb="FF0000FF"/>
      <name val="Arial"/>
    </font>
    <font>
      <u/>
      <sz val="9.0"/>
      <color rgb="FF000000"/>
      <name val="Arial"/>
    </font>
    <font>
      <u/>
      <sz val="9.0"/>
      <color rgb="FF0000FF"/>
    </font>
    <font>
      <sz val="10.0"/>
      <color rgb="FFFFFFFF"/>
      <name val="Arial"/>
    </font>
    <font>
      <sz val="10.0"/>
      <color rgb="FF000000"/>
      <name val="Inconsolata"/>
    </font>
    <font>
      <sz val="10.0"/>
      <name val="Arial"/>
    </font>
    <font>
      <u/>
      <sz val="9.0"/>
      <color rgb="FF0000FF"/>
    </font>
    <font>
      <sz val="9.0"/>
      <color rgb="FFFFFFFF"/>
      <name val="Inconsolata"/>
    </font>
    <font>
      <strike/>
      <sz val="10.0"/>
      <color rgb="FFFF0000"/>
      <name val="Arial"/>
    </font>
    <font>
      <sz val="9.0"/>
      <color rgb="FFFFFFFF"/>
      <name val="Arial"/>
    </font>
    <font>
      <u/>
      <sz val="9.0"/>
      <color rgb="FF1155CC"/>
      <name val="Arial"/>
    </font>
    <font>
      <sz val="10.0"/>
      <name val="Inconsolata"/>
    </font>
    <font>
      <strike/>
      <sz val="10.0"/>
      <color rgb="FF9900FF"/>
      <name val="Arial"/>
    </font>
    <font>
      <u/>
      <sz val="9.0"/>
      <color rgb="FF0000FF"/>
      <name val="Arial"/>
    </font>
    <font>
      <u/>
      <sz val="9.0"/>
      <color rgb="FF000000"/>
      <name val="Arial"/>
    </font>
    <font>
      <i/>
      <sz val="10.0"/>
      <name val="Arial"/>
    </font>
    <font>
      <u/>
      <sz val="9.0"/>
      <color rgb="FF0000FF"/>
      <name val="Arial"/>
    </font>
    <font>
      <u/>
      <sz val="9.0"/>
      <color rgb="FF000000"/>
      <name val="Inconsolata"/>
    </font>
    <font>
      <i/>
      <u/>
      <sz val="10.0"/>
      <color rgb="FF0000FF"/>
      <name val="Arial"/>
    </font>
    <font>
      <sz val="10.0"/>
      <color rgb="FF9900FF"/>
      <name val="Arial"/>
    </font>
    <font>
      <b/>
      <sz val="12.0"/>
      <name val="Arial"/>
    </font>
    <font>
      <sz val="10.0"/>
      <color rgb="FF0000FF"/>
      <name val="Arial"/>
    </font>
    <font>
      <b/>
      <sz val="10.0"/>
      <color rgb="FFFF0000"/>
    </font>
    <font>
      <sz val="10.0"/>
      <color rgb="FF000000"/>
    </font>
    <font>
      <i/>
      <sz val="10.0"/>
      <color rgb="FF000000"/>
    </font>
    <font>
      <strike/>
      <sz val="10.0"/>
      <color rgb="FF9900FF"/>
    </font>
  </fonts>
  <fills count="21">
    <fill>
      <patternFill patternType="none"/>
    </fill>
    <fill>
      <patternFill patternType="lightGray"/>
    </fill>
    <fill>
      <patternFill patternType="solid">
        <fgColor rgb="FF666666"/>
        <bgColor rgb="FF666666"/>
      </patternFill>
    </fill>
    <fill>
      <patternFill patternType="solid">
        <fgColor rgb="FF1155CC"/>
        <bgColor rgb="FF1155CC"/>
      </patternFill>
    </fill>
    <fill>
      <patternFill patternType="solid">
        <fgColor rgb="FFFFE599"/>
        <bgColor rgb="FFFFE599"/>
      </patternFill>
    </fill>
    <fill>
      <patternFill patternType="solid">
        <fgColor rgb="FFD9D2E9"/>
        <bgColor rgb="FFD9D2E9"/>
      </patternFill>
    </fill>
    <fill>
      <patternFill patternType="solid">
        <fgColor rgb="FFFFFFFF"/>
        <bgColor rgb="FFFFFFFF"/>
      </patternFill>
    </fill>
    <fill>
      <patternFill patternType="solid">
        <fgColor rgb="FF000000"/>
        <bgColor rgb="FF000000"/>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
      <patternFill patternType="solid">
        <fgColor rgb="FFEFEFEF"/>
        <bgColor rgb="FFEFEFEF"/>
      </patternFill>
    </fill>
    <fill>
      <patternFill patternType="solid">
        <fgColor rgb="FF999999"/>
        <bgColor rgb="FF999999"/>
      </patternFill>
    </fill>
    <fill>
      <patternFill patternType="solid">
        <fgColor rgb="FFCFE2F3"/>
        <bgColor rgb="FFCFE2F3"/>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3D85C6"/>
        <bgColor rgb="FF3D85C6"/>
      </patternFill>
    </fill>
    <fill>
      <patternFill patternType="solid">
        <fgColor rgb="FFF3F3F3"/>
        <bgColor rgb="FFF3F3F3"/>
      </patternFill>
    </fill>
    <fill>
      <patternFill patternType="solid">
        <fgColor rgb="FFF1C232"/>
        <bgColor rgb="FFF1C232"/>
      </patternFill>
    </fill>
    <fill>
      <patternFill patternType="solid">
        <fgColor rgb="FFFCE5CD"/>
        <bgColor rgb="FFFCE5CD"/>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339">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center" wrapText="1"/>
    </xf>
    <xf borderId="0" fillId="3" fontId="2" numFmtId="0" xfId="0" applyAlignment="1" applyFill="1" applyFont="1">
      <alignment horizontal="left" readingOrder="0" shrinkToFit="0" vertical="center" wrapText="1"/>
    </xf>
    <xf borderId="0" fillId="2" fontId="1" numFmtId="0" xfId="0" applyAlignment="1" applyFill="1" applyFont="1">
      <alignment horizontal="left" readingOrder="0" shrinkToFit="0" vertical="center" wrapText="1"/>
    </xf>
    <xf borderId="0" fillId="0" fontId="3"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0" fillId="3" fontId="4" numFmtId="0" xfId="0" applyAlignment="1" applyFill="1" applyFont="1">
      <alignment horizontal="left" readingOrder="0" shrinkToFit="0" vertical="center" wrapText="1"/>
    </xf>
    <xf borderId="0" fillId="3" fontId="2" numFmtId="0" xfId="0" applyAlignment="1" applyFill="1" applyFont="1">
      <alignment horizontal="right" readingOrder="0" shrinkToFit="0" vertical="center" wrapText="1"/>
    </xf>
    <xf borderId="0" fillId="4" fontId="3" numFmtId="0" xfId="0" applyAlignment="1" applyFill="1" applyFont="1">
      <alignment readingOrder="0" shrinkToFit="0" vertical="bottom" wrapText="1"/>
    </xf>
    <xf borderId="0" fillId="5" fontId="5" numFmtId="0" xfId="0" applyAlignment="1" applyFill="1" applyFont="1">
      <alignment horizontal="left" readingOrder="0" shrinkToFit="0" vertical="top" wrapText="1"/>
    </xf>
    <xf borderId="0" fillId="2" fontId="6" numFmtId="0" xfId="0" applyAlignment="1" applyFill="1" applyFont="1">
      <alignment horizontal="left" readingOrder="0" shrinkToFit="0" vertical="center" wrapText="1"/>
    </xf>
    <xf borderId="0" fillId="0" fontId="7" numFmtId="0" xfId="0" applyAlignment="1" applyFont="1">
      <alignment readingOrder="0" shrinkToFit="0" wrapText="1"/>
    </xf>
    <xf borderId="0" fillId="2" fontId="6" numFmtId="0" xfId="0" applyAlignment="1" applyFill="1" applyFont="1">
      <alignment horizontal="left" readingOrder="0" shrinkToFit="0" vertical="center" wrapText="1"/>
    </xf>
    <xf borderId="0" fillId="6" fontId="8" numFmtId="0" xfId="0" applyAlignment="1" applyFill="1" applyFont="1">
      <alignment horizontal="left" readingOrder="0" shrinkToFit="0" wrapText="1"/>
    </xf>
    <xf borderId="0" fillId="7" fontId="9" numFmtId="0" xfId="0" applyAlignment="1" applyFill="1" applyFont="1">
      <alignment horizontal="left" readingOrder="0" shrinkToFit="0" vertical="top" wrapText="1"/>
    </xf>
    <xf borderId="0" fillId="8" fontId="10" numFmtId="0" xfId="0" applyAlignment="1" applyFill="1" applyFont="1">
      <alignment readingOrder="0" shrinkToFit="0" vertical="bottom" wrapText="1"/>
    </xf>
    <xf borderId="0" fillId="7" fontId="6" numFmtId="0" xfId="0" applyAlignment="1" applyFill="1" applyFont="1">
      <alignment horizontal="left" readingOrder="0" shrinkToFit="0" vertical="center" wrapText="1"/>
    </xf>
    <xf borderId="0" fillId="9" fontId="11" numFmtId="0" xfId="0" applyAlignment="1" applyFill="1" applyFont="1">
      <alignment horizontal="left" readingOrder="0" shrinkToFit="0" vertical="top" wrapText="1"/>
    </xf>
    <xf borderId="0" fillId="10" fontId="11" numFmtId="0" xfId="0" applyAlignment="1" applyFill="1" applyFont="1">
      <alignment horizontal="left" readingOrder="0" shrinkToFit="0" vertical="center" wrapText="1"/>
    </xf>
    <xf borderId="0" fillId="8" fontId="12" numFmtId="0" xfId="0" applyAlignment="1" applyFill="1" applyFont="1">
      <alignment shrinkToFit="0" vertical="bottom" wrapText="1"/>
    </xf>
    <xf borderId="0" fillId="0" fontId="13" numFmtId="0" xfId="0" applyAlignment="1" applyFont="1">
      <alignment horizontal="left" readingOrder="0" shrinkToFit="0" vertical="center" wrapText="1"/>
    </xf>
    <xf borderId="0" fillId="7" fontId="1" numFmtId="0" xfId="0" applyAlignment="1" applyFill="1" applyFont="1">
      <alignment horizontal="left" readingOrder="0" shrinkToFit="0" vertical="center" wrapText="1"/>
    </xf>
    <xf borderId="1" fillId="9" fontId="11" numFmtId="0" xfId="0" applyAlignment="1" applyBorder="1" applyFill="1" applyFont="1">
      <alignment horizontal="left" readingOrder="0" shrinkToFit="0" vertical="top" wrapText="1"/>
    </xf>
    <xf borderId="0" fillId="11" fontId="14" numFmtId="0" xfId="0" applyAlignment="1" applyFill="1" applyFont="1">
      <alignment horizontal="left" readingOrder="0" shrinkToFit="0" vertical="center" wrapText="1"/>
    </xf>
    <xf borderId="2" fillId="0" fontId="15" numFmtId="0" xfId="0" applyAlignment="1" applyBorder="1" applyFont="1">
      <alignment shrinkToFit="0" wrapText="1"/>
    </xf>
    <xf borderId="0" fillId="12" fontId="16" numFmtId="0" xfId="0" applyAlignment="1" applyFill="1" applyFont="1">
      <alignment horizontal="left" readingOrder="0" shrinkToFit="0" vertical="center" wrapText="1"/>
    </xf>
    <xf borderId="0" fillId="13" fontId="14" numFmtId="0" xfId="0" applyAlignment="1" applyFill="1" applyFont="1">
      <alignment horizontal="left" readingOrder="0" shrinkToFit="0" vertical="center" wrapText="1"/>
    </xf>
    <xf borderId="0" fillId="9" fontId="11" numFmtId="0" xfId="0" applyAlignment="1" applyFill="1" applyFont="1">
      <alignment horizontal="left" readingOrder="0" shrinkToFit="0" vertical="center" wrapText="1"/>
    </xf>
    <xf borderId="3" fillId="0" fontId="15" numFmtId="0" xfId="0" applyAlignment="1" applyBorder="1" applyFont="1">
      <alignment shrinkToFit="0" wrapText="1"/>
    </xf>
    <xf borderId="4" fillId="9" fontId="11" numFmtId="0" xfId="0" applyAlignment="1" applyBorder="1" applyFill="1" applyFont="1">
      <alignment horizontal="left" readingOrder="0" shrinkToFit="0" vertical="top" wrapText="1"/>
    </xf>
    <xf borderId="0" fillId="8" fontId="17" numFmtId="0" xfId="0" applyAlignment="1" applyFill="1" applyFont="1">
      <alignment readingOrder="0" shrinkToFit="0" vertical="bottom" wrapText="1"/>
    </xf>
    <xf borderId="1" fillId="4" fontId="11" numFmtId="0" xfId="0" applyAlignment="1" applyBorder="1" applyFill="1" applyFont="1">
      <alignment horizontal="left" readingOrder="0" shrinkToFit="0" vertical="top" wrapText="1"/>
    </xf>
    <xf borderId="0" fillId="0" fontId="7" numFmtId="0" xfId="0" applyAlignment="1" applyFont="1">
      <alignment readingOrder="0" shrinkToFit="0" vertical="top" wrapText="1"/>
    </xf>
    <xf borderId="0" fillId="6" fontId="8" numFmtId="0" xfId="0" applyAlignment="1" applyFill="1" applyFont="1">
      <alignment horizontal="left" readingOrder="0" shrinkToFit="0" wrapText="1"/>
    </xf>
    <xf borderId="0" fillId="0" fontId="18" numFmtId="0" xfId="0" applyAlignment="1" applyFont="1">
      <alignment horizontal="left" readingOrder="0" shrinkToFit="0" vertical="center" wrapText="1"/>
    </xf>
    <xf borderId="4" fillId="8" fontId="19" numFmtId="0" xfId="0" applyAlignment="1" applyBorder="1" applyFill="1" applyFont="1">
      <alignment shrinkToFit="0" vertical="top" wrapText="1"/>
    </xf>
    <xf borderId="0" fillId="0" fontId="20" numFmtId="0" xfId="0" applyAlignment="1" applyFont="1">
      <alignment horizontal="left" readingOrder="0" shrinkToFit="0" vertical="center" wrapText="1"/>
    </xf>
    <xf borderId="0" fillId="8" fontId="21" numFmtId="0" xfId="0" applyAlignment="1" applyFill="1" applyFont="1">
      <alignment shrinkToFit="0" vertical="bottom" wrapText="1"/>
    </xf>
    <xf borderId="0" fillId="0" fontId="14" numFmtId="0" xfId="0" applyAlignment="1" applyFont="1">
      <alignment horizontal="left" shrinkToFit="0" vertical="center" wrapText="1"/>
    </xf>
    <xf borderId="0" fillId="10" fontId="14" numFmtId="0" xfId="0" applyAlignment="1" applyFill="1" applyFont="1">
      <alignment horizontal="left" readingOrder="0" shrinkToFit="0" vertical="center" wrapText="1"/>
    </xf>
    <xf borderId="3" fillId="0" fontId="12" numFmtId="0" xfId="0" applyAlignment="1" applyBorder="1" applyFont="1">
      <alignment readingOrder="0" shrinkToFit="0" vertical="top" wrapText="1"/>
    </xf>
    <xf borderId="0" fillId="10" fontId="14" numFmtId="0" xfId="0" applyAlignment="1" applyFill="1" applyFont="1">
      <alignment horizontal="center" readingOrder="0" shrinkToFit="0" vertical="center" wrapText="1"/>
    </xf>
    <xf borderId="0" fillId="0" fontId="22" numFmtId="0" xfId="0" applyAlignment="1" applyFont="1">
      <alignment horizontal="left" shrinkToFit="0" vertical="center" wrapText="1"/>
    </xf>
    <xf borderId="0" fillId="0" fontId="23" numFmtId="0" xfId="0" applyAlignment="1" applyFont="1">
      <alignment shrinkToFit="0" wrapText="1"/>
    </xf>
    <xf borderId="0" fillId="4" fontId="24" numFmtId="0" xfId="0" applyAlignment="1" applyFill="1" applyFont="1">
      <alignment horizontal="left" readingOrder="0" shrinkToFit="0" vertical="center" wrapText="0"/>
    </xf>
    <xf borderId="0" fillId="8" fontId="11" numFmtId="0" xfId="0" applyAlignment="1" applyFill="1" applyFont="1">
      <alignment horizontal="left" readingOrder="0" shrinkToFit="0" vertical="center" wrapText="1"/>
    </xf>
    <xf borderId="0" fillId="10" fontId="20" numFmtId="0" xfId="0" applyAlignment="1" applyFill="1" applyFont="1">
      <alignment horizontal="left" readingOrder="0" shrinkToFit="0" vertical="center" wrapText="1"/>
    </xf>
    <xf borderId="0" fillId="0" fontId="25" numFmtId="0" xfId="0" applyAlignment="1" applyFont="1">
      <alignment readingOrder="0" shrinkToFit="0" vertical="center" wrapText="1"/>
    </xf>
    <xf borderId="0" fillId="0" fontId="14" numFmtId="0" xfId="0" applyAlignment="1" applyFont="1">
      <alignment horizontal="left" readingOrder="0" shrinkToFit="0" vertical="center" wrapText="1"/>
    </xf>
    <xf borderId="0" fillId="10" fontId="26" numFmtId="0" xfId="0" applyAlignment="1" applyFill="1" applyFont="1">
      <alignment shrinkToFit="0" vertical="center" wrapText="1"/>
    </xf>
    <xf borderId="0" fillId="11" fontId="27" numFmtId="0" xfId="0" applyAlignment="1" applyFill="1" applyFont="1">
      <alignment horizontal="left" readingOrder="0" shrinkToFit="0" vertical="center" wrapText="1"/>
    </xf>
    <xf borderId="0" fillId="10" fontId="14" numFmtId="0" xfId="0" applyAlignment="1" applyFill="1" applyFont="1">
      <alignment horizontal="left" readingOrder="0" shrinkToFit="0" vertical="center" wrapText="1"/>
    </xf>
    <xf borderId="0" fillId="8" fontId="28" numFmtId="0" xfId="0" applyAlignment="1" applyFill="1" applyFont="1">
      <alignment horizontal="left" readingOrder="0" shrinkToFit="0" wrapText="1"/>
    </xf>
    <xf borderId="0" fillId="10" fontId="14" numFmtId="0" xfId="0" applyAlignment="1" applyFill="1" applyFont="1">
      <alignment horizontal="center" readingOrder="0" shrinkToFit="0" vertical="center" wrapText="1"/>
    </xf>
    <xf borderId="0" fillId="5" fontId="14" numFmtId="0" xfId="0" applyAlignment="1" applyFill="1" applyFont="1">
      <alignment horizontal="left" readingOrder="0" shrinkToFit="0" vertical="center" wrapText="1"/>
    </xf>
    <xf borderId="3" fillId="11" fontId="29" numFmtId="0" xfId="0" applyAlignment="1" applyBorder="1" applyFill="1" applyFont="1">
      <alignment readingOrder="0" shrinkToFit="0" vertical="top" wrapText="1"/>
    </xf>
    <xf borderId="2" fillId="13" fontId="20" numFmtId="0" xfId="0" applyAlignment="1" applyBorder="1" applyFill="1" applyFont="1">
      <alignment shrinkToFit="0" vertical="top" wrapText="1"/>
    </xf>
    <xf borderId="0" fillId="10" fontId="19" numFmtId="0" xfId="0" applyAlignment="1" applyFill="1" applyFont="1">
      <alignment shrinkToFit="0" wrapText="1"/>
    </xf>
    <xf borderId="4" fillId="8" fontId="30" numFmtId="0" xfId="0" applyAlignment="1" applyBorder="1" applyFill="1" applyFont="1">
      <alignment horizontal="left" readingOrder="0" shrinkToFit="0" vertical="top" wrapText="1"/>
    </xf>
    <xf borderId="0" fillId="10" fontId="31" numFmtId="0" xfId="0" applyAlignment="1" applyFill="1" applyFont="1">
      <alignment shrinkToFit="0" vertical="center" wrapText="1"/>
    </xf>
    <xf borderId="0" fillId="0" fontId="12" numFmtId="0" xfId="0" applyAlignment="1" applyFont="1">
      <alignment readingOrder="0" shrinkToFit="0" wrapText="1"/>
    </xf>
    <xf borderId="0" fillId="11" fontId="32" numFmtId="0" xfId="0" applyAlignment="1" applyFill="1" applyFont="1">
      <alignment shrinkToFit="0" wrapText="1"/>
    </xf>
    <xf borderId="0" fillId="8" fontId="19" numFmtId="0" xfId="0" applyAlignment="1" applyFill="1" applyFont="1">
      <alignment readingOrder="0" shrinkToFit="0" vertical="center" wrapText="1"/>
    </xf>
    <xf borderId="0" fillId="13" fontId="19" numFmtId="0" xfId="0" applyAlignment="1" applyFill="1" applyFont="1">
      <alignment shrinkToFit="0" wrapText="1"/>
    </xf>
    <xf borderId="3" fillId="0" fontId="33" numFmtId="0" xfId="0" applyAlignment="1" applyBorder="1" applyFont="1">
      <alignment horizontal="left" readingOrder="0" shrinkToFit="0" vertical="top" wrapText="1"/>
    </xf>
    <xf borderId="0" fillId="6" fontId="14" numFmtId="0" xfId="0" applyAlignment="1" applyFill="1" applyFont="1">
      <alignment horizontal="left" readingOrder="0" shrinkToFit="0" vertical="center" wrapText="1"/>
    </xf>
    <xf borderId="3" fillId="11" fontId="33" numFmtId="0" xfId="0" applyAlignment="1" applyBorder="1" applyFill="1" applyFont="1">
      <alignment horizontal="left" readingOrder="0" shrinkToFit="0" vertical="top" wrapText="1"/>
    </xf>
    <xf borderId="0" fillId="14" fontId="3" numFmtId="0" xfId="0" applyAlignment="1" applyFill="1" applyFont="1">
      <alignment readingOrder="0" shrinkToFit="0" vertical="bottom" wrapText="1"/>
    </xf>
    <xf borderId="4" fillId="5" fontId="14" numFmtId="0" xfId="0" applyAlignment="1" applyBorder="1" applyFill="1" applyFont="1">
      <alignment horizontal="left" readingOrder="0" shrinkToFit="0" vertical="top" wrapText="1"/>
    </xf>
    <xf borderId="0" fillId="4" fontId="11" numFmtId="0" xfId="0" applyAlignment="1" applyFill="1" applyFont="1">
      <alignment horizontal="left" readingOrder="0" shrinkToFit="0" vertical="center" wrapText="1"/>
    </xf>
    <xf borderId="0" fillId="0" fontId="34" numFmtId="0" xfId="0" applyAlignment="1" applyFont="1">
      <alignment readingOrder="0" shrinkToFit="0" wrapText="1"/>
    </xf>
    <xf borderId="0" fillId="8" fontId="14" numFmtId="0" xfId="0" applyAlignment="1" applyFill="1" applyFont="1">
      <alignment horizontal="left" readingOrder="0" shrinkToFit="0" vertical="center" wrapText="1"/>
    </xf>
    <xf borderId="0" fillId="6" fontId="35" numFmtId="0" xfId="0" applyAlignment="1" applyFill="1" applyFont="1">
      <alignment horizontal="left" readingOrder="0" shrinkToFit="0" wrapText="1"/>
    </xf>
    <xf borderId="0" fillId="10" fontId="20" numFmtId="0" xfId="0" applyAlignment="1" applyFill="1" applyFont="1">
      <alignment readingOrder="0" shrinkToFit="0" vertical="center" wrapText="1"/>
    </xf>
    <xf borderId="0" fillId="15" fontId="10" numFmtId="0" xfId="0" applyAlignment="1" applyFill="1" applyFont="1">
      <alignment shrinkToFit="0" vertical="bottom" wrapText="1"/>
    </xf>
    <xf borderId="0" fillId="8" fontId="36" numFmtId="0" xfId="0" applyAlignment="1" applyFill="1" applyFont="1">
      <alignment readingOrder="0" shrinkToFit="0" vertical="center" wrapText="1"/>
    </xf>
    <xf borderId="0" fillId="15" fontId="12" numFmtId="0" xfId="0" applyAlignment="1" applyFill="1" applyFont="1">
      <alignment shrinkToFit="0" vertical="bottom" wrapText="1"/>
    </xf>
    <xf borderId="1" fillId="0" fontId="37" numFmtId="0" xfId="0" applyAlignment="1" applyBorder="1" applyFont="1">
      <alignment horizontal="left" readingOrder="0" shrinkToFit="0" vertical="top" wrapText="1"/>
    </xf>
    <xf borderId="0" fillId="15" fontId="21" numFmtId="0" xfId="0" applyAlignment="1" applyFill="1" applyFont="1">
      <alignment shrinkToFit="0" vertical="bottom" wrapText="1"/>
    </xf>
    <xf borderId="0" fillId="11" fontId="38" numFmtId="0" xfId="0" applyAlignment="1" applyFill="1" applyFont="1">
      <alignment horizontal="left" readingOrder="0" shrinkToFit="0" vertical="center" wrapText="1"/>
    </xf>
    <xf borderId="1" fillId="11" fontId="33" numFmtId="0" xfId="0" applyAlignment="1" applyBorder="1" applyFill="1" applyFont="1">
      <alignment horizontal="left" readingOrder="0" shrinkToFit="0" vertical="top" wrapText="1"/>
    </xf>
    <xf borderId="0" fillId="0" fontId="39" numFmtId="0" xfId="0" applyAlignment="1" applyFont="1">
      <alignment shrinkToFit="0" wrapText="1"/>
    </xf>
    <xf borderId="0" fillId="8" fontId="40" numFmtId="0" xfId="0" applyAlignment="1" applyFill="1" applyFont="1">
      <alignment horizontal="left" readingOrder="0" shrinkToFit="0" vertical="center" wrapText="0"/>
    </xf>
    <xf borderId="4" fillId="13" fontId="14" numFmtId="0" xfId="0" applyAlignment="1" applyBorder="1" applyFill="1" applyFont="1">
      <alignment horizontal="left" readingOrder="0" shrinkToFit="0" vertical="top" wrapText="1"/>
    </xf>
    <xf borderId="0" fillId="14" fontId="11" numFmtId="0" xfId="0" applyAlignment="1" applyFill="1" applyFont="1">
      <alignment horizontal="left" readingOrder="0" shrinkToFit="0" vertical="center" wrapText="1"/>
    </xf>
    <xf borderId="4" fillId="8" fontId="40" numFmtId="0" xfId="0" applyAlignment="1" applyBorder="1" applyFill="1" applyFont="1">
      <alignment horizontal="left" readingOrder="0" shrinkToFit="0" vertical="top" wrapText="1"/>
    </xf>
    <xf borderId="0" fillId="15" fontId="14" numFmtId="0" xfId="0" applyAlignment="1" applyFill="1" applyFont="1">
      <alignment horizontal="left" readingOrder="0" shrinkToFit="0" vertical="center" wrapText="1"/>
    </xf>
    <xf borderId="0" fillId="15" fontId="10" numFmtId="0" xfId="0" applyAlignment="1" applyFill="1" applyFont="1">
      <alignment readingOrder="0" shrinkToFit="0" vertical="bottom" wrapText="1"/>
    </xf>
    <xf borderId="0" fillId="11" fontId="14" numFmtId="0" xfId="0" applyAlignment="1" applyFill="1" applyFont="1">
      <alignment horizontal="left" readingOrder="0" shrinkToFit="0" vertical="center" wrapText="1"/>
    </xf>
    <xf borderId="0" fillId="0" fontId="5" numFmtId="0" xfId="0" applyAlignment="1" applyFont="1">
      <alignment readingOrder="0" shrinkToFit="0" wrapText="1"/>
    </xf>
    <xf borderId="0" fillId="2" fontId="4" numFmtId="0" xfId="0" applyAlignment="1" applyFill="1" applyFont="1">
      <alignment horizontal="left" readingOrder="0" shrinkToFit="0" vertical="center" wrapText="1"/>
    </xf>
    <xf borderId="0" fillId="10" fontId="20" numFmtId="0" xfId="0" applyAlignment="1" applyFill="1" applyFont="1">
      <alignment horizontal="center" readingOrder="0" shrinkToFit="0" vertical="center" wrapText="1"/>
    </xf>
    <xf borderId="0" fillId="4" fontId="40" numFmtId="0" xfId="0" applyAlignment="1" applyFill="1" applyFont="1">
      <alignment horizontal="left" readingOrder="0" shrinkToFit="0" vertical="center" wrapText="1"/>
    </xf>
    <xf borderId="0" fillId="5" fontId="20" numFmtId="0" xfId="0" applyAlignment="1" applyFill="1" applyFont="1">
      <alignment readingOrder="0" shrinkToFit="0" vertical="center" wrapText="1"/>
    </xf>
    <xf borderId="4" fillId="14" fontId="30" numFmtId="0" xfId="0" applyAlignment="1" applyBorder="1" applyFill="1" applyFont="1">
      <alignment horizontal="left" readingOrder="0" shrinkToFit="0" vertical="top" wrapText="1"/>
    </xf>
    <xf borderId="0" fillId="0" fontId="20" numFmtId="0" xfId="0" applyAlignment="1" applyFont="1">
      <alignment readingOrder="0" shrinkToFit="0" vertical="center" wrapText="1"/>
    </xf>
    <xf borderId="3" fillId="14" fontId="30" numFmtId="0" xfId="0" applyAlignment="1" applyBorder="1" applyFill="1" applyFont="1">
      <alignment horizontal="left" readingOrder="0" shrinkToFit="0" vertical="top" wrapText="1"/>
    </xf>
    <xf borderId="0" fillId="11" fontId="20" numFmtId="0" xfId="0" applyAlignment="1" applyFill="1" applyFont="1">
      <alignment shrinkToFit="0" vertical="center" wrapText="1"/>
    </xf>
    <xf borderId="2" fillId="14" fontId="14" numFmtId="0" xfId="0" applyAlignment="1" applyBorder="1" applyFill="1" applyFont="1">
      <alignment horizontal="left" readingOrder="0" shrinkToFit="0" vertical="top" wrapText="1"/>
    </xf>
    <xf borderId="0" fillId="0" fontId="41" numFmtId="0" xfId="0" applyAlignment="1" applyFont="1">
      <alignment shrinkToFit="0" wrapText="1"/>
    </xf>
    <xf borderId="0" fillId="4" fontId="19" numFmtId="0" xfId="0" applyAlignment="1" applyFill="1" applyFont="1">
      <alignment horizontal="left" readingOrder="0" shrinkToFit="0" vertical="center" wrapText="1"/>
    </xf>
    <xf borderId="4" fillId="15" fontId="19" numFmtId="0" xfId="0" applyAlignment="1" applyBorder="1" applyFill="1" applyFont="1">
      <alignment shrinkToFit="0" vertical="top" wrapText="1"/>
    </xf>
    <xf borderId="0" fillId="6" fontId="42" numFmtId="0" xfId="0" applyAlignment="1" applyFill="1" applyFont="1">
      <alignment readingOrder="0" shrinkToFit="0" vertical="bottom" wrapText="1"/>
    </xf>
    <xf borderId="0" fillId="15" fontId="21" numFmtId="0" xfId="0" applyAlignment="1" applyFill="1" applyFont="1">
      <alignment readingOrder="0" shrinkToFit="0" wrapText="1"/>
    </xf>
    <xf borderId="0" fillId="4" fontId="19" numFmtId="0" xfId="0" applyAlignment="1" applyFill="1" applyFont="1">
      <alignment horizontal="left" readingOrder="0" shrinkToFit="0" vertical="center" wrapText="0"/>
    </xf>
    <xf borderId="0" fillId="8" fontId="19" numFmtId="0" xfId="0" applyAlignment="1" applyFill="1" applyFont="1">
      <alignment horizontal="left" readingOrder="0" shrinkToFit="0" vertical="center" wrapText="0"/>
    </xf>
    <xf borderId="4" fillId="15" fontId="11" numFmtId="0" xfId="0" applyAlignment="1" applyBorder="1" applyFill="1" applyFont="1">
      <alignment horizontal="left" readingOrder="0" shrinkToFit="0" vertical="top" wrapText="1"/>
    </xf>
    <xf borderId="0" fillId="4" fontId="19" numFmtId="0" xfId="0" applyAlignment="1" applyFill="1" applyFont="1">
      <alignment readingOrder="0" shrinkToFit="0" vertical="center" wrapText="1"/>
    </xf>
    <xf borderId="0" fillId="0" fontId="13" numFmtId="0" xfId="0" applyAlignment="1" applyFont="1">
      <alignment horizontal="left" readingOrder="0" shrinkToFit="0" vertical="center" wrapText="1"/>
    </xf>
    <xf borderId="0" fillId="11" fontId="20" numFmtId="0" xfId="0" applyAlignment="1" applyFill="1" applyFont="1">
      <alignment readingOrder="0" shrinkToFit="0" vertical="center" wrapText="1"/>
    </xf>
    <xf borderId="0" fillId="13" fontId="20" numFmtId="0" xfId="0" applyAlignment="1" applyFill="1" applyFont="1">
      <alignment shrinkToFit="0" vertical="center" wrapText="1"/>
    </xf>
    <xf borderId="0" fillId="0" fontId="20" numFmtId="0" xfId="0" applyAlignment="1" applyFont="1">
      <alignment horizontal="left" readingOrder="0" shrinkToFit="0" vertical="center" wrapText="1"/>
    </xf>
    <xf borderId="0" fillId="4" fontId="40" numFmtId="0" xfId="0" applyAlignment="1" applyFill="1" applyFont="1">
      <alignment horizontal="left" readingOrder="0" shrinkToFit="0" vertical="center" wrapText="1"/>
    </xf>
    <xf borderId="5" fillId="0" fontId="15" numFmtId="0" xfId="0" applyAlignment="1" applyBorder="1" applyFont="1">
      <alignment readingOrder="0" shrinkToFit="0" wrapText="1"/>
    </xf>
    <xf borderId="6" fillId="0" fontId="15" numFmtId="0" xfId="0" applyAlignment="1" applyBorder="1" applyFont="1">
      <alignment shrinkToFit="0" wrapText="1"/>
    </xf>
    <xf borderId="0" fillId="0" fontId="43" numFmtId="0" xfId="0" applyAlignment="1" applyFont="1">
      <alignment horizontal="left" readingOrder="0" shrinkToFit="0" vertical="center" wrapText="1"/>
    </xf>
    <xf borderId="0" fillId="11" fontId="43" numFmtId="0" xfId="0" applyAlignment="1" applyFill="1" applyFont="1">
      <alignment horizontal="left" readingOrder="0" shrinkToFit="0" vertical="center" wrapText="1"/>
    </xf>
    <xf borderId="1" fillId="11" fontId="14" numFmtId="0" xfId="0" applyAlignment="1" applyBorder="1" applyFill="1" applyFont="1">
      <alignment horizontal="left" readingOrder="0" shrinkToFit="0" vertical="top" wrapText="1"/>
    </xf>
    <xf borderId="4" fillId="15" fontId="40" numFmtId="0" xfId="0" applyAlignment="1" applyBorder="1" applyFill="1" applyFont="1">
      <alignment readingOrder="0" shrinkToFit="0" vertical="top" wrapText="1"/>
    </xf>
    <xf borderId="5" fillId="6" fontId="20" numFmtId="0" xfId="0" applyAlignment="1" applyBorder="1" applyFill="1" applyFont="1">
      <alignment shrinkToFit="0" vertical="bottom" wrapText="1"/>
    </xf>
    <xf borderId="0" fillId="4" fontId="40" numFmtId="0" xfId="0" applyAlignment="1" applyFill="1" applyFont="1">
      <alignment readingOrder="0" shrinkToFit="0" vertical="center" wrapText="0"/>
    </xf>
    <xf borderId="1" fillId="11" fontId="20" numFmtId="0" xfId="0" applyAlignment="1" applyBorder="1" applyFill="1" applyFont="1">
      <alignment readingOrder="0" shrinkToFit="0" vertical="bottom" wrapText="1"/>
    </xf>
    <xf borderId="0" fillId="0" fontId="20" numFmtId="0" xfId="0" applyAlignment="1" applyFont="1">
      <alignment readingOrder="0" shrinkToFit="0" vertical="center" wrapText="1"/>
    </xf>
    <xf borderId="0" fillId="11" fontId="19" numFmtId="0" xfId="0" applyAlignment="1" applyFill="1" applyFont="1">
      <alignment readingOrder="0" shrinkToFit="0" vertical="center" wrapText="1"/>
    </xf>
    <xf borderId="4" fillId="5" fontId="43" numFmtId="0" xfId="0" applyAlignment="1" applyBorder="1" applyFill="1" applyFont="1">
      <alignment shrinkToFit="0" vertical="top" wrapText="1"/>
    </xf>
    <xf borderId="4" fillId="15" fontId="40" numFmtId="0" xfId="0" applyAlignment="1" applyBorder="1" applyFill="1" applyFont="1">
      <alignment shrinkToFit="0" vertical="top" wrapText="1"/>
    </xf>
    <xf borderId="0" fillId="4" fontId="43" numFmtId="0" xfId="0" applyAlignment="1" applyFill="1" applyFont="1">
      <alignment horizontal="left" readingOrder="0" shrinkToFit="0" vertical="center" wrapText="1"/>
    </xf>
    <xf borderId="1" fillId="11" fontId="43" numFmtId="0" xfId="0" applyAlignment="1" applyBorder="1" applyFill="1" applyFont="1">
      <alignment shrinkToFit="0" vertical="top" wrapText="1"/>
    </xf>
    <xf borderId="0" fillId="11" fontId="44" numFmtId="0" xfId="0" applyAlignment="1" applyFill="1" applyFont="1">
      <alignment horizontal="left" readingOrder="0" shrinkToFit="0" vertical="center" wrapText="1"/>
    </xf>
    <xf borderId="0" fillId="8" fontId="19" numFmtId="0" xfId="0" applyAlignment="1" applyFill="1" applyFont="1">
      <alignment horizontal="left" readingOrder="0" shrinkToFit="0" vertical="center" wrapText="1"/>
    </xf>
    <xf borderId="4" fillId="15" fontId="30" numFmtId="0" xfId="0" applyAlignment="1" applyBorder="1" applyFill="1" applyFont="1">
      <alignment horizontal="left" readingOrder="0" shrinkToFit="0" vertical="top" wrapText="1"/>
    </xf>
    <xf borderId="0" fillId="0" fontId="45" numFmtId="0" xfId="0" applyAlignment="1" applyFont="1">
      <alignment horizontal="left" readingOrder="0" shrinkToFit="0" vertical="center" wrapText="1"/>
    </xf>
    <xf borderId="0" fillId="16" fontId="20" numFmtId="0" xfId="0" applyAlignment="1" applyFill="1" applyFont="1">
      <alignment horizontal="left" readingOrder="0" shrinkToFit="0" vertical="center" wrapText="1"/>
    </xf>
    <xf borderId="0" fillId="8" fontId="19" numFmtId="0" xfId="0" applyAlignment="1" applyFill="1" applyFont="1">
      <alignment horizontal="left" readingOrder="0" shrinkToFit="0" vertical="center" wrapText="0"/>
    </xf>
    <xf borderId="0" fillId="0" fontId="20" numFmtId="0" xfId="0" applyAlignment="1" applyFont="1">
      <alignment horizontal="left" readingOrder="0" shrinkToFit="0" vertical="center" wrapText="1"/>
    </xf>
    <xf borderId="1" fillId="0" fontId="46" numFmtId="0" xfId="0" applyAlignment="1" applyBorder="1" applyFont="1">
      <alignment horizontal="left" readingOrder="0" shrinkToFit="0" vertical="center" wrapText="1"/>
    </xf>
    <xf borderId="0" fillId="11" fontId="47" numFmtId="0" xfId="0" applyAlignment="1" applyFill="1" applyFont="1">
      <alignment horizontal="left" readingOrder="0" shrinkToFit="0" vertical="center" wrapText="1"/>
    </xf>
    <xf borderId="4" fillId="15" fontId="40" numFmtId="0" xfId="0" applyAlignment="1" applyBorder="1" applyFill="1" applyFont="1">
      <alignment horizontal="left" readingOrder="0" shrinkToFit="0" vertical="top" wrapText="1"/>
    </xf>
    <xf borderId="0" fillId="11" fontId="33" numFmtId="0" xfId="0" applyAlignment="1" applyFill="1" applyFont="1">
      <alignment horizontal="left" readingOrder="0" shrinkToFit="0" vertical="center" wrapText="1"/>
    </xf>
    <xf borderId="0" fillId="4" fontId="32" numFmtId="0" xfId="0" applyAlignment="1" applyFill="1" applyFont="1">
      <alignment shrinkToFit="0" wrapText="1"/>
    </xf>
    <xf borderId="0" fillId="8" fontId="19" numFmtId="0" xfId="0" applyAlignment="1" applyFill="1" applyFont="1">
      <alignment shrinkToFit="0" wrapText="0"/>
    </xf>
    <xf borderId="1" fillId="0" fontId="48" numFmtId="0" xfId="0" applyAlignment="1" applyBorder="1" applyFont="1">
      <alignment horizontal="left" readingOrder="0" shrinkToFit="0" vertical="top" wrapText="1"/>
    </xf>
    <xf borderId="0" fillId="0" fontId="12" numFmtId="0" xfId="0" applyAlignment="1" applyFont="1">
      <alignment shrinkToFit="0" wrapText="1"/>
    </xf>
    <xf borderId="0" fillId="10" fontId="20" numFmtId="0" xfId="0" applyAlignment="1" applyFill="1" applyFont="1">
      <alignment shrinkToFit="0" wrapText="1"/>
    </xf>
    <xf borderId="0" fillId="10" fontId="12" numFmtId="0" xfId="0" applyAlignment="1" applyFill="1" applyFont="1">
      <alignment shrinkToFit="0" wrapText="1"/>
    </xf>
    <xf borderId="0" fillId="13" fontId="20" numFmtId="0" xfId="0" applyAlignment="1" applyFill="1" applyFont="1">
      <alignment shrinkToFit="0" wrapText="1"/>
    </xf>
    <xf borderId="7" fillId="7" fontId="49" numFmtId="0" xfId="0" applyAlignment="1" applyBorder="1" applyFill="1" applyFont="1">
      <alignment horizontal="left" readingOrder="0" shrinkToFit="0" vertical="center" wrapText="1"/>
    </xf>
    <xf borderId="0" fillId="10" fontId="26" numFmtId="0" xfId="0" applyAlignment="1" applyFill="1" applyFont="1">
      <alignment shrinkToFit="0" wrapText="1"/>
    </xf>
    <xf borderId="5" fillId="0" fontId="15" numFmtId="0" xfId="0" applyAlignment="1" applyBorder="1" applyFont="1">
      <alignment shrinkToFit="0" wrapText="1"/>
    </xf>
    <xf borderId="0" fillId="16" fontId="20" numFmtId="0" xfId="0" applyAlignment="1" applyFill="1" applyFont="1">
      <alignment shrinkToFit="0" wrapText="1"/>
    </xf>
    <xf borderId="8" fillId="9" fontId="40" numFmtId="0" xfId="0" applyAlignment="1" applyBorder="1" applyFill="1" applyFont="1">
      <alignment horizontal="left" readingOrder="0" shrinkToFit="0" vertical="top" wrapText="1"/>
    </xf>
    <xf borderId="7" fillId="9" fontId="40" numFmtId="0" xfId="0" applyAlignment="1" applyBorder="1" applyFill="1" applyFont="1">
      <alignment horizontal="left" readingOrder="0" shrinkToFit="0" wrapText="0"/>
    </xf>
    <xf borderId="7" fillId="9" fontId="40" numFmtId="0" xfId="0" applyAlignment="1" applyBorder="1" applyFill="1" applyFont="1">
      <alignment horizontal="left" readingOrder="0" shrinkToFit="0" wrapText="1"/>
    </xf>
    <xf borderId="0" fillId="6" fontId="50" numFmtId="0" xfId="0" applyAlignment="1" applyFill="1" applyFont="1">
      <alignment readingOrder="0" shrinkToFit="0" wrapText="1"/>
    </xf>
    <xf borderId="8" fillId="9" fontId="11" numFmtId="0" xfId="0" applyAlignment="1" applyBorder="1" applyFill="1" applyFont="1">
      <alignment horizontal="left" readingOrder="0" shrinkToFit="0" vertical="top" wrapText="1"/>
    </xf>
    <xf borderId="4" fillId="9" fontId="43" numFmtId="0" xfId="0" applyAlignment="1" applyBorder="1" applyFill="1" applyFont="1">
      <alignment horizontal="left" readingOrder="0" shrinkToFit="0" vertical="top" wrapText="1"/>
    </xf>
    <xf borderId="1" fillId="6" fontId="43" numFmtId="0" xfId="0" applyAlignment="1" applyBorder="1" applyFill="1" applyFont="1">
      <alignment horizontal="left" readingOrder="0" shrinkToFit="0" wrapText="0"/>
    </xf>
    <xf borderId="1" fillId="11" fontId="43" numFmtId="0" xfId="0" applyAlignment="1" applyBorder="1" applyFill="1" applyFont="1">
      <alignment horizontal="left" readingOrder="0" shrinkToFit="0" wrapText="1"/>
    </xf>
    <xf borderId="4" fillId="9" fontId="40" numFmtId="0" xfId="0" applyAlignment="1" applyBorder="1" applyFill="1" applyFont="1">
      <alignment horizontal="left" readingOrder="0" shrinkToFit="0" vertical="top" wrapText="0"/>
    </xf>
    <xf borderId="0" fillId="14" fontId="24" numFmtId="0" xfId="0" applyAlignment="1" applyFill="1" applyFont="1">
      <alignment horizontal="left" readingOrder="0" shrinkToFit="0" vertical="center" wrapText="0"/>
    </xf>
    <xf borderId="0" fillId="15" fontId="11" numFmtId="0" xfId="0" applyAlignment="1" applyFill="1" applyFont="1">
      <alignment horizontal="left" readingOrder="0" shrinkToFit="0" vertical="center" wrapText="1"/>
    </xf>
    <xf borderId="1" fillId="7" fontId="49" numFmtId="0" xfId="0" applyAlignment="1" applyBorder="1" applyFill="1" applyFont="1">
      <alignment horizontal="left" readingOrder="0" shrinkToFit="0" wrapText="0"/>
    </xf>
    <xf borderId="4" fillId="10" fontId="43" numFmtId="0" xfId="0" applyAlignment="1" applyBorder="1" applyFill="1" applyFont="1">
      <alignment horizontal="left" readingOrder="0" shrinkToFit="0" vertical="top" wrapText="1"/>
    </xf>
    <xf borderId="1" fillId="10" fontId="40" numFmtId="0" xfId="0" applyAlignment="1" applyBorder="1" applyFill="1" applyFont="1">
      <alignment horizontal="left" readingOrder="0" shrinkToFit="0" vertical="top" wrapText="1"/>
    </xf>
    <xf borderId="4" fillId="10" fontId="40" numFmtId="0" xfId="0" applyAlignment="1" applyBorder="1" applyFill="1" applyFont="1">
      <alignment horizontal="left" readingOrder="0" shrinkToFit="0" vertical="top" wrapText="1"/>
    </xf>
    <xf borderId="2" fillId="10" fontId="40" numFmtId="0" xfId="0" applyAlignment="1" applyBorder="1" applyFill="1" applyFont="1">
      <alignment horizontal="left" readingOrder="0" shrinkToFit="0" vertical="top" wrapText="1"/>
    </xf>
    <xf borderId="0" fillId="10" fontId="51" numFmtId="0" xfId="0" applyAlignment="1" applyFill="1" applyFont="1">
      <alignment shrinkToFit="0" vertical="center" wrapText="1"/>
    </xf>
    <xf borderId="1" fillId="17" fontId="4" numFmtId="0" xfId="0" applyAlignment="1" applyBorder="1" applyFill="1" applyFont="1">
      <alignment shrinkToFit="0" wrapText="1"/>
    </xf>
    <xf borderId="0" fillId="15" fontId="19" numFmtId="0" xfId="0" applyAlignment="1" applyFill="1" applyFont="1">
      <alignment readingOrder="0" shrinkToFit="0" vertical="center" wrapText="1"/>
    </xf>
    <xf borderId="4" fillId="18" fontId="43" numFmtId="0" xfId="0" applyAlignment="1" applyBorder="1" applyFill="1" applyFont="1">
      <alignment horizontal="left" readingOrder="0" shrinkToFit="0" vertical="bottom" wrapText="1"/>
    </xf>
    <xf borderId="1" fillId="18" fontId="43" numFmtId="0" xfId="0" applyAlignment="1" applyBorder="1" applyFill="1" applyFont="1">
      <alignment readingOrder="0" shrinkToFit="0" vertical="bottom" wrapText="1"/>
    </xf>
    <xf borderId="4" fillId="18" fontId="20" numFmtId="0" xfId="0" applyAlignment="1" applyBorder="1" applyFill="1" applyFont="1">
      <alignment shrinkToFit="0" vertical="bottom" wrapText="1"/>
    </xf>
    <xf borderId="0" fillId="10" fontId="20" numFmtId="0" xfId="0" applyAlignment="1" applyFill="1" applyFont="1">
      <alignment readingOrder="0" shrinkToFit="0" vertical="center" wrapText="1"/>
    </xf>
    <xf borderId="1" fillId="18" fontId="52" numFmtId="0" xfId="0" applyAlignment="1" applyBorder="1" applyFill="1" applyFont="1">
      <alignment horizontal="center" readingOrder="0" shrinkToFit="0" vertical="bottom" wrapText="1"/>
    </xf>
    <xf borderId="4" fillId="18" fontId="20" numFmtId="0" xfId="0" applyAlignment="1" applyBorder="1" applyFill="1" applyFont="1">
      <alignment readingOrder="0" shrinkToFit="0" vertical="bottom" wrapText="1"/>
    </xf>
    <xf borderId="4" fillId="0" fontId="43" numFmtId="0" xfId="0" applyAlignment="1" applyBorder="1" applyFont="1">
      <alignment readingOrder="0" shrinkToFit="0" vertical="bottom" wrapText="1"/>
    </xf>
    <xf borderId="0" fillId="15" fontId="40" numFmtId="0" xfId="0" applyAlignment="1" applyFill="1" applyFont="1">
      <alignment readingOrder="0" shrinkToFit="0" vertical="center" wrapText="0"/>
    </xf>
    <xf borderId="1" fillId="0" fontId="53" numFmtId="0" xfId="0" applyAlignment="1" applyBorder="1" applyFont="1">
      <alignment readingOrder="0" shrinkToFit="0" vertical="bottom" wrapText="1"/>
    </xf>
    <xf borderId="4" fillId="0" fontId="20" numFmtId="0" xfId="0" applyAlignment="1" applyBorder="1" applyFont="1">
      <alignment readingOrder="0" shrinkToFit="0" vertical="bottom" wrapText="1"/>
    </xf>
    <xf borderId="1" fillId="0" fontId="20" numFmtId="0" xfId="0" applyAlignment="1" applyBorder="1" applyFont="1">
      <alignment shrinkToFit="0" vertical="bottom" wrapText="1"/>
    </xf>
    <xf borderId="4" fillId="5" fontId="20" numFmtId="0" xfId="0" applyAlignment="1" applyBorder="1" applyFill="1" applyFont="1">
      <alignment readingOrder="0" shrinkToFit="0" vertical="bottom" wrapText="1"/>
    </xf>
    <xf borderId="0" fillId="6" fontId="43" numFmtId="0" xfId="0" applyAlignment="1" applyFill="1" applyFont="1">
      <alignment readingOrder="0" shrinkToFit="0" vertical="center" wrapText="1"/>
    </xf>
    <xf borderId="0" fillId="6" fontId="20" numFmtId="0" xfId="0" applyAlignment="1" applyFill="1" applyFont="1">
      <alignment readingOrder="0" shrinkToFit="0" vertical="center" wrapText="1"/>
    </xf>
    <xf borderId="0" fillId="16" fontId="14" numFmtId="0" xfId="0" applyAlignment="1" applyFill="1" applyFont="1">
      <alignment horizontal="left" readingOrder="0" shrinkToFit="0" vertical="center" wrapText="1"/>
    </xf>
    <xf borderId="0" fillId="7" fontId="49" numFmtId="0" xfId="0" applyAlignment="1" applyFill="1" applyFont="1">
      <alignment horizontal="left" readingOrder="0" shrinkToFit="0" vertical="center" wrapText="1"/>
    </xf>
    <xf borderId="1" fillId="0" fontId="54" numFmtId="0" xfId="0" applyAlignment="1" applyBorder="1" applyFont="1">
      <alignment readingOrder="0" shrinkToFit="0" vertical="bottom" wrapText="1"/>
    </xf>
    <xf borderId="0" fillId="4" fontId="40" numFmtId="0" xfId="0" applyAlignment="1" applyFill="1" applyFont="1">
      <alignment horizontal="left" readingOrder="0" shrinkToFit="0" vertical="center" wrapText="0"/>
    </xf>
    <xf borderId="0" fillId="8" fontId="19" numFmtId="0" xfId="0" applyAlignment="1" applyFill="1" applyFont="1">
      <alignment horizontal="left" readingOrder="0" shrinkToFit="0" vertical="center" wrapText="1"/>
    </xf>
    <xf borderId="1" fillId="0" fontId="55" numFmtId="0" xfId="0" applyAlignment="1" applyBorder="1" applyFont="1">
      <alignment readingOrder="0" shrinkToFit="0" vertical="bottom" wrapText="1"/>
    </xf>
    <xf borderId="0" fillId="10" fontId="20" numFmtId="0" xfId="0" applyAlignment="1" applyFill="1" applyFont="1">
      <alignment horizontal="center" readingOrder="0" shrinkToFit="0" vertical="center" wrapText="1"/>
    </xf>
    <xf borderId="0" fillId="5" fontId="20" numFmtId="0" xfId="0" applyAlignment="1" applyFill="1" applyFont="1">
      <alignment horizontal="left" readingOrder="0" shrinkToFit="0" vertical="center" wrapText="1"/>
    </xf>
    <xf borderId="1" fillId="17" fontId="4" numFmtId="0" xfId="0" applyAlignment="1" applyBorder="1" applyFill="1" applyFont="1">
      <alignment readingOrder="0" shrinkToFit="0" wrapText="1"/>
    </xf>
    <xf borderId="4" fillId="0" fontId="43" numFmtId="0" xfId="0" applyAlignment="1" applyBorder="1" applyFont="1">
      <alignment readingOrder="0" shrinkToFit="0" vertical="bottom" wrapText="1"/>
    </xf>
    <xf borderId="0" fillId="0" fontId="56"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5" fillId="0" fontId="57" numFmtId="0" xfId="0" applyAlignment="1" applyBorder="1" applyFont="1">
      <alignment readingOrder="0" shrinkToFit="0" wrapText="1"/>
    </xf>
    <xf borderId="0" fillId="0" fontId="14" numFmtId="0" xfId="0" applyAlignment="1" applyFont="1">
      <alignment readingOrder="0" shrinkToFit="0" vertical="center" wrapText="1"/>
    </xf>
    <xf borderId="0" fillId="13" fontId="11" numFmtId="0" xfId="0" applyAlignment="1" applyFill="1" applyFont="1">
      <alignment horizontal="left" readingOrder="0" shrinkToFit="0" vertical="center" wrapText="1"/>
    </xf>
    <xf borderId="4" fillId="0" fontId="43" numFmtId="0" xfId="0" applyAlignment="1" applyBorder="1" applyFont="1">
      <alignment horizontal="left" shrinkToFit="0" vertical="bottom" wrapText="0"/>
    </xf>
    <xf borderId="1" fillId="0" fontId="58" numFmtId="0" xfId="0" applyAlignment="1" applyBorder="1" applyFont="1">
      <alignment shrinkToFit="0" vertical="bottom" wrapText="1"/>
    </xf>
    <xf borderId="4" fillId="0" fontId="20" numFmtId="0" xfId="0" applyAlignment="1" applyBorder="1" applyFont="1">
      <alignment shrinkToFit="0" vertical="bottom" wrapText="1"/>
    </xf>
    <xf borderId="1" fillId="17" fontId="4" numFmtId="0" xfId="0" applyAlignment="1" applyBorder="1" applyFill="1" applyFont="1">
      <alignment shrinkToFit="0" vertical="bottom" wrapText="1"/>
    </xf>
    <xf borderId="0" fillId="16" fontId="59" numFmtId="0" xfId="0" applyAlignment="1" applyFill="1" applyFont="1">
      <alignment horizontal="left" readingOrder="0" shrinkToFit="0" vertical="center" wrapText="1"/>
    </xf>
    <xf borderId="0" fillId="0" fontId="14" numFmtId="0" xfId="0" applyAlignment="1" applyFont="1">
      <alignment shrinkToFit="0" vertical="center" wrapText="1"/>
    </xf>
    <xf borderId="4" fillId="0" fontId="13" numFmtId="0" xfId="0" applyAlignment="1" applyBorder="1" applyFont="1">
      <alignment readingOrder="0" shrinkToFit="0" vertical="bottom" wrapText="1"/>
    </xf>
    <xf borderId="0" fillId="14" fontId="40" numFmtId="0" xfId="0" applyAlignment="1" applyFill="1" applyFont="1">
      <alignment horizontal="left" readingOrder="0" shrinkToFit="0" vertical="center" wrapText="0"/>
    </xf>
    <xf borderId="5" fillId="0" fontId="20" numFmtId="0" xfId="0" applyAlignment="1" applyBorder="1" applyFont="1">
      <alignment shrinkToFit="0" vertical="bottom" wrapText="1"/>
    </xf>
    <xf borderId="0" fillId="15" fontId="40" numFmtId="0" xfId="0" applyAlignment="1" applyFill="1" applyFont="1">
      <alignment horizontal="left" readingOrder="0" shrinkToFit="0" vertical="center" wrapText="1"/>
    </xf>
    <xf borderId="4" fillId="0" fontId="12" numFmtId="0" xfId="0" applyAlignment="1" applyBorder="1" applyFont="1">
      <alignment shrinkToFit="0" vertical="bottom" wrapText="1"/>
    </xf>
    <xf borderId="1" fillId="0" fontId="52" numFmtId="0" xfId="0" applyAlignment="1" applyBorder="1" applyFont="1">
      <alignment horizontal="center" readingOrder="0" shrinkToFit="0" vertical="bottom" wrapText="1"/>
    </xf>
    <xf borderId="4" fillId="13" fontId="20" numFmtId="0" xfId="0" applyAlignment="1" applyBorder="1" applyFill="1" applyFont="1">
      <alignment shrinkToFit="0" vertical="bottom" wrapText="1"/>
    </xf>
    <xf borderId="0" fillId="15" fontId="19" numFmtId="0" xfId="0" applyAlignment="1" applyFill="1" applyFont="1">
      <alignment horizontal="left" readingOrder="0" shrinkToFit="0" vertical="center" wrapText="1"/>
    </xf>
    <xf borderId="4" fillId="0" fontId="60" numFmtId="0" xfId="0" applyAlignment="1" applyBorder="1" applyFont="1">
      <alignment shrinkToFit="0" vertical="bottom" wrapText="0"/>
    </xf>
    <xf borderId="1" fillId="0" fontId="61" numFmtId="0" xfId="0" applyAlignment="1" applyBorder="1" applyFont="1">
      <alignment shrinkToFit="0" vertical="bottom" wrapText="1"/>
    </xf>
    <xf borderId="1" fillId="0" fontId="62" numFmtId="0" xfId="0" applyAlignment="1" applyBorder="1" applyFont="1">
      <alignment readingOrder="0" shrinkToFit="0" vertical="bottom" wrapText="1"/>
    </xf>
    <xf borderId="0" fillId="10" fontId="63" numFmtId="0" xfId="0" applyAlignment="1" applyFill="1" applyFont="1">
      <alignment horizontal="left" readingOrder="0" shrinkToFit="0" vertical="center" wrapText="1"/>
    </xf>
    <xf borderId="4" fillId="0" fontId="43" numFmtId="0" xfId="0" applyAlignment="1" applyBorder="1" applyFont="1">
      <alignment horizontal="left" readingOrder="0" shrinkToFit="0" vertical="bottom" wrapText="0"/>
    </xf>
    <xf borderId="0" fillId="15" fontId="40" numFmtId="0" xfId="0" applyAlignment="1" applyFill="1" applyFont="1">
      <alignment shrinkToFit="0" vertical="top" wrapText="1"/>
    </xf>
    <xf borderId="0" fillId="10" fontId="43" numFmtId="0" xfId="0" applyAlignment="1" applyFill="1" applyFont="1">
      <alignment horizontal="left" readingOrder="0" shrinkToFit="0" wrapText="1"/>
    </xf>
    <xf borderId="4" fillId="17" fontId="4" numFmtId="0" xfId="0" applyAlignment="1" applyBorder="1" applyFill="1" applyFont="1">
      <alignment readingOrder="0" shrinkToFit="0" wrapText="1"/>
    </xf>
    <xf borderId="1" fillId="0" fontId="43" numFmtId="0" xfId="0" applyAlignment="1" applyBorder="1" applyFont="1">
      <alignment shrinkToFit="0" vertical="bottom" wrapText="1"/>
    </xf>
    <xf borderId="4" fillId="0" fontId="43" numFmtId="0" xfId="0" applyAlignment="1" applyBorder="1" applyFont="1">
      <alignment readingOrder="0" shrinkToFit="0" vertical="bottom" wrapText="0"/>
    </xf>
    <xf borderId="4" fillId="0" fontId="20" numFmtId="0" xfId="0" applyAlignment="1" applyBorder="1" applyFont="1">
      <alignment readingOrder="0" shrinkToFit="0" vertical="bottom" wrapText="0"/>
    </xf>
    <xf borderId="1" fillId="0" fontId="20" numFmtId="0" xfId="0" applyAlignment="1" applyBorder="1" applyFont="1">
      <alignment readingOrder="0" shrinkToFit="0" vertical="bottom" wrapText="1"/>
    </xf>
    <xf borderId="0" fillId="19" fontId="24" numFmtId="0" xfId="0" applyAlignment="1" applyFill="1" applyFont="1">
      <alignment horizontal="left" readingOrder="0" shrinkToFit="0" vertical="center" wrapText="1"/>
    </xf>
    <xf borderId="4" fillId="0" fontId="20" numFmtId="0" xfId="0" applyAlignment="1" applyBorder="1" applyFont="1">
      <alignment horizontal="left" readingOrder="0" shrinkToFit="0" vertical="bottom" wrapText="1"/>
    </xf>
    <xf borderId="0" fillId="2" fontId="49" numFmtId="0" xfId="0" applyAlignment="1" applyFill="1" applyFont="1">
      <alignment shrinkToFit="0" vertical="center" wrapText="1"/>
    </xf>
    <xf borderId="4" fillId="16" fontId="20" numFmtId="0" xfId="0" applyAlignment="1" applyBorder="1" applyFill="1" applyFont="1">
      <alignment readingOrder="0" shrinkToFit="0" vertical="bottom" wrapText="1"/>
    </xf>
    <xf borderId="0" fillId="2" fontId="49" numFmtId="0" xfId="0" applyAlignment="1" applyFill="1" applyFont="1">
      <alignment shrinkToFit="0" vertical="center" wrapText="1"/>
    </xf>
    <xf borderId="0" fillId="2" fontId="49" numFmtId="0" xfId="0" applyAlignment="1" applyFill="1" applyFont="1">
      <alignment shrinkToFit="0" vertical="center" wrapText="1"/>
    </xf>
    <xf borderId="0" fillId="2" fontId="64" numFmtId="0" xfId="0" applyAlignment="1" applyFill="1" applyFont="1">
      <alignment readingOrder="0" shrinkToFit="0" vertical="center" wrapText="1"/>
    </xf>
    <xf borderId="0" fillId="9" fontId="41" numFmtId="0" xfId="0" applyAlignment="1" applyFill="1" applyFont="1">
      <alignment horizontal="left" shrinkToFit="0" vertical="center" wrapText="0"/>
    </xf>
    <xf borderId="0" fillId="10" fontId="65" numFmtId="0" xfId="0" applyAlignment="1" applyFill="1" applyFont="1">
      <alignment shrinkToFit="0" vertical="center" wrapText="1"/>
    </xf>
    <xf borderId="1" fillId="0" fontId="43" numFmtId="0" xfId="0" applyAlignment="1" applyBorder="1" applyFont="1">
      <alignment readingOrder="0" shrinkToFit="0" vertical="bottom" wrapText="1"/>
    </xf>
    <xf borderId="0" fillId="10" fontId="66" numFmtId="0" xfId="0" applyAlignment="1" applyFill="1" applyFont="1">
      <alignment readingOrder="0" shrinkToFit="0" vertical="center" wrapText="1"/>
    </xf>
    <xf borderId="0" fillId="13" fontId="66" numFmtId="0" xfId="0" applyAlignment="1" applyFill="1" applyFont="1">
      <alignment horizontal="left" readingOrder="0" shrinkToFit="0" vertical="center" wrapText="1"/>
    </xf>
    <xf borderId="0" fillId="0" fontId="66" numFmtId="0" xfId="0" applyAlignment="1" applyFont="1">
      <alignment readingOrder="0" shrinkToFit="0" vertical="center" wrapText="1"/>
    </xf>
    <xf borderId="0" fillId="9" fontId="41" numFmtId="0" xfId="0" applyAlignment="1" applyFill="1" applyFont="1">
      <alignment horizontal="left" readingOrder="0" shrinkToFit="0" vertical="center" wrapText="1"/>
    </xf>
    <xf borderId="4" fillId="0" fontId="20" numFmtId="0" xfId="0" applyAlignment="1" applyBorder="1" applyFont="1">
      <alignment readingOrder="0" shrinkToFit="0" vertical="bottom" wrapText="0"/>
    </xf>
    <xf borderId="0" fillId="7" fontId="4" numFmtId="0" xfId="0" applyAlignment="1" applyFill="1" applyFont="1">
      <alignment readingOrder="0" shrinkToFit="0" vertical="center" wrapText="1"/>
    </xf>
    <xf borderId="0" fillId="10" fontId="66" numFmtId="0" xfId="0" applyAlignment="1" applyFill="1" applyFont="1">
      <alignment horizontal="left" readingOrder="0" shrinkToFit="0" vertical="center" wrapText="1"/>
    </xf>
    <xf borderId="0" fillId="2" fontId="4" numFmtId="0" xfId="0" applyAlignment="1" applyFill="1" applyFont="1">
      <alignment readingOrder="0" shrinkToFit="0" vertical="bottom" wrapText="1"/>
    </xf>
    <xf borderId="0" fillId="16" fontId="66" numFmtId="0" xfId="0" applyAlignment="1" applyFill="1" applyFont="1">
      <alignment horizontal="left" readingOrder="0" shrinkToFit="0" vertical="center" wrapText="1"/>
    </xf>
    <xf borderId="0" fillId="9" fontId="40" numFmtId="0" xfId="0" applyAlignment="1" applyFill="1" applyFont="1">
      <alignment horizontal="left" readingOrder="0" shrinkToFit="0" wrapText="1"/>
    </xf>
    <xf borderId="1" fillId="0" fontId="43" numFmtId="0" xfId="0" applyAlignment="1" applyBorder="1" applyFont="1">
      <alignment readingOrder="0" shrinkToFit="0" vertical="bottom" wrapText="1"/>
    </xf>
    <xf borderId="9" fillId="7" fontId="49" numFmtId="0" xfId="0" applyAlignment="1" applyBorder="1" applyFill="1" applyFont="1">
      <alignment horizontal="left" readingOrder="0" shrinkToFit="0" vertical="bottom" wrapText="0"/>
    </xf>
    <xf borderId="10" fillId="0" fontId="15" numFmtId="0" xfId="0" applyAlignment="1" applyBorder="1" applyFont="1">
      <alignment shrinkToFit="0" wrapText="1"/>
    </xf>
    <xf borderId="11" fillId="0" fontId="15" numFmtId="0" xfId="0" applyAlignment="1" applyBorder="1" applyFont="1">
      <alignment shrinkToFit="0" wrapText="1"/>
    </xf>
    <xf borderId="0" fillId="9" fontId="26" numFmtId="0" xfId="0" applyAlignment="1" applyFill="1" applyFont="1">
      <alignment shrinkToFit="0" wrapText="1"/>
    </xf>
    <xf borderId="4" fillId="10" fontId="43" numFmtId="0" xfId="0" applyAlignment="1" applyBorder="1" applyFill="1" applyFont="1">
      <alignment readingOrder="0" shrinkToFit="0" vertical="top" wrapText="1"/>
    </xf>
    <xf borderId="0" fillId="0" fontId="20" numFmtId="0" xfId="0" applyAlignment="1" applyFont="1">
      <alignment shrinkToFit="0" vertical="bottom" wrapText="1"/>
    </xf>
    <xf borderId="4" fillId="10" fontId="40" numFmtId="0" xfId="0" applyAlignment="1" applyBorder="1" applyFill="1" applyFont="1">
      <alignment readingOrder="0" shrinkToFit="0" vertical="bottom" wrapText="1"/>
    </xf>
    <xf borderId="0" fillId="9" fontId="40" numFmtId="0" xfId="0" applyAlignment="1" applyFill="1" applyFont="1">
      <alignment horizontal="left" readingOrder="0" shrinkToFit="0" vertical="top" wrapText="0"/>
    </xf>
    <xf borderId="4" fillId="10" fontId="40" numFmtId="0" xfId="0" applyAlignment="1" applyBorder="1" applyFill="1" applyFont="1">
      <alignment readingOrder="0" shrinkToFit="0" vertical="top" wrapText="1"/>
    </xf>
    <xf borderId="4" fillId="10" fontId="43" numFmtId="0" xfId="0" applyAlignment="1" applyBorder="1" applyFill="1" applyFont="1">
      <alignment horizontal="left" readingOrder="0" shrinkToFit="0" vertical="top" wrapText="1"/>
    </xf>
    <xf borderId="4" fillId="10" fontId="40" numFmtId="0" xfId="0" applyAlignment="1" applyBorder="1" applyFill="1" applyFont="1">
      <alignment horizontal="center" readingOrder="0" shrinkToFit="0" vertical="top" wrapText="1"/>
    </xf>
    <xf borderId="4" fillId="10" fontId="40" numFmtId="0" xfId="0" applyAlignment="1" applyBorder="1" applyFill="1" applyFont="1">
      <alignment shrinkToFit="0" vertical="bottom" wrapText="0"/>
    </xf>
    <xf borderId="0" fillId="10" fontId="67" numFmtId="0" xfId="0" applyAlignment="1" applyFill="1" applyFont="1">
      <alignment horizontal="left" readingOrder="0" shrinkToFit="0" vertical="top" wrapText="1"/>
    </xf>
    <xf borderId="0" fillId="2" fontId="4" numFmtId="0" xfId="0" applyAlignment="1" applyFill="1" applyFont="1">
      <alignment horizontal="left" readingOrder="0" shrinkToFit="0" vertical="top" wrapText="1"/>
    </xf>
    <xf borderId="0" fillId="20" fontId="66" numFmtId="0" xfId="0" applyAlignment="1" applyFill="1" applyFont="1">
      <alignment horizontal="left" readingOrder="0" shrinkToFit="0" vertical="center" wrapText="1"/>
    </xf>
    <xf borderId="0" fillId="2" fontId="68" numFmtId="0" xfId="0" applyAlignment="1" applyFill="1" applyFont="1">
      <alignment shrinkToFit="0" wrapText="1"/>
    </xf>
    <xf borderId="0" fillId="0" fontId="69" numFmtId="0" xfId="0" applyAlignment="1" applyFont="1">
      <alignment readingOrder="0" shrinkToFit="0" vertical="center" wrapText="1"/>
    </xf>
    <xf borderId="0" fillId="2" fontId="70" numFmtId="0" xfId="0" applyAlignment="1" applyFill="1" applyFont="1">
      <alignment shrinkToFit="0" vertical="bottom" wrapText="1"/>
    </xf>
    <xf borderId="0" fillId="9" fontId="19" numFmtId="0" xfId="0" applyAlignment="1" applyFill="1" applyFont="1">
      <alignment horizontal="left" readingOrder="0" shrinkToFit="0" vertical="top" wrapText="1"/>
    </xf>
    <xf borderId="4" fillId="10" fontId="20" numFmtId="0" xfId="0" applyAlignment="1" applyBorder="1" applyFill="1" applyFont="1">
      <alignment horizontal="center" shrinkToFit="0" vertical="bottom" wrapText="1"/>
    </xf>
    <xf borderId="0" fillId="10" fontId="39" numFmtId="0" xfId="0" applyAlignment="1" applyFill="1" applyFont="1">
      <alignment horizontal="left" readingOrder="0" shrinkToFit="0" vertical="center" wrapText="1"/>
    </xf>
    <xf borderId="0" fillId="0" fontId="66" numFmtId="0" xfId="0" applyAlignment="1" applyFont="1">
      <alignment shrinkToFit="0" vertical="center" wrapText="1"/>
    </xf>
    <xf borderId="0" fillId="6" fontId="43" numFmtId="0" xfId="0" applyAlignment="1" applyFill="1" applyFont="1">
      <alignment horizontal="left" readingOrder="0" shrinkToFit="0" wrapText="1"/>
    </xf>
    <xf borderId="4" fillId="0" fontId="71" numFmtId="0" xfId="0" applyAlignment="1" applyBorder="1" applyFont="1">
      <alignment readingOrder="0" shrinkToFit="0" vertical="bottom" wrapText="1"/>
    </xf>
    <xf borderId="0" fillId="9" fontId="41" numFmtId="0" xfId="0" applyAlignment="1" applyFill="1" applyFont="1">
      <alignment horizontal="left" readingOrder="0" shrinkToFit="0" vertical="center" wrapText="0"/>
    </xf>
    <xf borderId="4" fillId="6" fontId="43" numFmtId="0" xfId="0" applyAlignment="1" applyBorder="1" applyFill="1" applyFont="1">
      <alignment readingOrder="0" shrinkToFit="0" vertical="bottom" wrapText="1"/>
    </xf>
    <xf borderId="4" fillId="0" fontId="20" numFmtId="0" xfId="0" applyAlignment="1" applyBorder="1" applyFont="1">
      <alignment readingOrder="0" shrinkToFit="0" wrapText="1"/>
    </xf>
    <xf borderId="4" fillId="0" fontId="43" numFmtId="0" xfId="0" applyAlignment="1" applyBorder="1" applyFont="1">
      <alignment readingOrder="0" shrinkToFit="0" vertical="bottom" wrapText="1"/>
    </xf>
    <xf borderId="0" fillId="9" fontId="19" numFmtId="0" xfId="0" applyAlignment="1" applyFill="1" applyFont="1">
      <alignment readingOrder="0" shrinkToFit="0" vertical="bottom" wrapText="1"/>
    </xf>
    <xf borderId="0" fillId="10" fontId="72" numFmtId="0" xfId="0" applyAlignment="1" applyFill="1" applyFont="1">
      <alignment shrinkToFit="0" vertical="center" wrapText="1"/>
    </xf>
    <xf borderId="0" fillId="10" fontId="66" numFmtId="0" xfId="0" applyAlignment="1" applyFill="1" applyFont="1">
      <alignment readingOrder="0" shrinkToFit="0" vertical="center" wrapText="1"/>
    </xf>
    <xf borderId="0" fillId="13" fontId="66" numFmtId="0" xfId="0" applyAlignment="1" applyFill="1" applyFont="1">
      <alignment readingOrder="0" shrinkToFit="0" vertical="center" wrapText="1"/>
    </xf>
    <xf borderId="0" fillId="0" fontId="73" numFmtId="0" xfId="0" applyAlignment="1" applyFont="1">
      <alignment shrinkToFit="0" vertical="center" wrapText="1"/>
    </xf>
    <xf borderId="0" fillId="9" fontId="41" numFmtId="0" xfId="0" applyAlignment="1" applyFill="1" applyFont="1">
      <alignment horizontal="left" readingOrder="0" shrinkToFit="0" vertical="center" wrapText="1"/>
    </xf>
    <xf borderId="0" fillId="0" fontId="20" numFmtId="0" xfId="0" applyAlignment="1" applyFont="1">
      <alignment readingOrder="0" shrinkToFit="0" vertical="bottom" wrapText="1"/>
    </xf>
    <xf borderId="4" fillId="0" fontId="74" numFmtId="0" xfId="0" applyAlignment="1" applyBorder="1" applyFont="1">
      <alignment readingOrder="0" shrinkToFit="0" vertical="bottom" wrapText="1"/>
    </xf>
    <xf borderId="0" fillId="10" fontId="66" numFmtId="0" xfId="0" applyAlignment="1" applyFill="1" applyFont="1">
      <alignment horizontal="left" shrinkToFit="0" vertical="center" wrapText="1"/>
    </xf>
    <xf borderId="0" fillId="9" fontId="11" numFmtId="0" xfId="0" applyAlignment="1" applyFill="1" applyFont="1">
      <alignment readingOrder="0" shrinkToFit="0" wrapText="1"/>
    </xf>
    <xf borderId="4" fillId="0" fontId="75" numFmtId="0" xfId="0" applyAlignment="1" applyBorder="1" applyFont="1">
      <alignment shrinkToFit="0" vertical="bottom" wrapText="1"/>
    </xf>
    <xf borderId="0" fillId="6" fontId="66" numFmtId="0" xfId="0" applyAlignment="1" applyFill="1" applyFont="1">
      <alignment readingOrder="0" shrinkToFit="0" vertical="center" wrapText="1"/>
    </xf>
    <xf borderId="4" fillId="0" fontId="43" numFmtId="0" xfId="0" applyAlignment="1" applyBorder="1" applyFont="1">
      <alignment shrinkToFit="0" vertical="bottom" wrapText="1"/>
    </xf>
    <xf borderId="0" fillId="0" fontId="76" numFmtId="0" xfId="0" applyAlignment="1" applyFont="1">
      <alignment horizontal="left" readingOrder="0" shrinkToFit="0" vertical="center" wrapText="1"/>
    </xf>
    <xf borderId="4" fillId="0" fontId="20" numFmtId="0" xfId="0" applyAlignment="1" applyBorder="1" applyFont="1">
      <alignment shrinkToFit="0" wrapText="1"/>
    </xf>
    <xf borderId="0" fillId="8" fontId="66" numFmtId="0" xfId="0" applyAlignment="1" applyFill="1" applyFont="1">
      <alignment shrinkToFit="0" vertical="center" wrapText="1"/>
    </xf>
    <xf borderId="4" fillId="0" fontId="20" numFmtId="0" xfId="0" applyAlignment="1" applyBorder="1" applyFont="1">
      <alignment readingOrder="0" shrinkToFit="0" vertical="bottom" wrapText="1"/>
    </xf>
    <xf borderId="0" fillId="9" fontId="19" numFmtId="0" xfId="0" applyAlignment="1" applyFill="1" applyFont="1">
      <alignment horizontal="left" readingOrder="0" shrinkToFit="0" vertical="top" wrapText="1"/>
    </xf>
    <xf borderId="4" fillId="0" fontId="77" numFmtId="0" xfId="0" applyAlignment="1" applyBorder="1" applyFont="1">
      <alignment readingOrder="0" shrinkToFit="0" wrapText="1"/>
    </xf>
    <xf borderId="0" fillId="9" fontId="78" numFmtId="0" xfId="0" applyAlignment="1" applyFill="1" applyFont="1">
      <alignment shrinkToFit="0" wrapText="1"/>
    </xf>
    <xf borderId="0" fillId="0" fontId="20" numFmtId="0" xfId="0" applyAlignment="1" applyFont="1">
      <alignment readingOrder="0" shrinkToFit="0" wrapText="1"/>
    </xf>
    <xf borderId="0" fillId="0" fontId="20" numFmtId="0" xfId="0" applyAlignment="1" applyFont="1">
      <alignment readingOrder="0" shrinkToFit="0" vertical="bottom" wrapText="1"/>
    </xf>
    <xf borderId="0" fillId="0" fontId="20" numFmtId="0" xfId="0" applyAlignment="1" applyFont="1">
      <alignment readingOrder="0" shrinkToFit="0" vertical="bottom" wrapText="1"/>
    </xf>
    <xf borderId="0" fillId="9" fontId="19" numFmtId="0" xfId="0" applyAlignment="1" applyFill="1" applyFont="1">
      <alignment horizontal="left" shrinkToFit="0" vertical="top" wrapText="1"/>
    </xf>
    <xf borderId="0" fillId="10" fontId="20" numFmtId="0" xfId="0" applyAlignment="1" applyFill="1" applyFont="1">
      <alignment horizontal="center" shrinkToFit="0" vertical="bottom" wrapText="1"/>
    </xf>
    <xf borderId="0" fillId="0" fontId="79" numFmtId="0" xfId="0" applyAlignment="1" applyFont="1">
      <alignment horizontal="left" readingOrder="0" shrinkToFit="0" vertical="center" wrapText="1"/>
    </xf>
    <xf borderId="0" fillId="0" fontId="20" numFmtId="0" xfId="0" applyAlignment="1" applyFont="1">
      <alignment shrinkToFit="0" wrapText="1"/>
    </xf>
    <xf borderId="0" fillId="0" fontId="66" numFmtId="0" xfId="0" applyAlignment="1" applyFont="1">
      <alignment readingOrder="0" shrinkToFit="0" vertical="center" wrapText="1"/>
    </xf>
    <xf borderId="0" fillId="5" fontId="20" numFmtId="0" xfId="0" applyAlignment="1" applyFill="1" applyFont="1">
      <alignment readingOrder="0" shrinkToFit="0" vertical="bottom" wrapText="1"/>
    </xf>
    <xf borderId="0" fillId="6" fontId="66" numFmtId="0" xfId="0" applyAlignment="1" applyFill="1" applyFont="1">
      <alignment readingOrder="0" shrinkToFit="0" vertical="center" wrapText="1"/>
    </xf>
    <xf borderId="0" fillId="9" fontId="41" numFmtId="0" xfId="0" applyAlignment="1" applyFill="1" applyFont="1">
      <alignment readingOrder="0" shrinkToFit="0" vertical="center" wrapText="0"/>
    </xf>
    <xf borderId="0" fillId="9" fontId="43" numFmtId="0" xfId="0" applyAlignment="1" applyFill="1" applyFont="1">
      <alignment horizontal="left" readingOrder="0" shrinkToFit="0" vertical="top" wrapText="1"/>
    </xf>
    <xf borderId="0" fillId="0" fontId="76" numFmtId="0" xfId="0" applyAlignment="1" applyFont="1">
      <alignment readingOrder="0" shrinkToFit="0" vertical="center" wrapText="1"/>
    </xf>
    <xf borderId="0" fillId="6" fontId="80" numFmtId="0" xfId="0" applyAlignment="1" applyFill="1" applyFont="1">
      <alignment shrinkToFit="0" vertical="center" wrapText="1"/>
    </xf>
    <xf borderId="0" fillId="9" fontId="5" numFmtId="0" xfId="0" applyAlignment="1" applyFill="1" applyFont="1">
      <alignment horizontal="left" readingOrder="0" shrinkToFit="0" vertical="center" wrapText="1"/>
    </xf>
    <xf borderId="0" fillId="6" fontId="14" numFmtId="0" xfId="0" applyAlignment="1" applyFill="1" applyFont="1">
      <alignment horizontal="left" readingOrder="0" shrinkToFit="0" vertical="top" wrapText="1"/>
    </xf>
    <xf borderId="0" fillId="9" fontId="40" numFmtId="0" xfId="0" applyAlignment="1" applyFill="1" applyFont="1">
      <alignment horizontal="left" readingOrder="0" shrinkToFit="0" vertical="top" wrapText="0"/>
    </xf>
    <xf borderId="0" fillId="6" fontId="19" numFmtId="0" xfId="0" applyAlignment="1" applyFill="1" applyFont="1">
      <alignment readingOrder="0" shrinkToFit="0" vertical="bottom" wrapText="1"/>
    </xf>
    <xf borderId="0" fillId="6" fontId="20" numFmtId="0" xfId="0" applyAlignment="1" applyFill="1" applyFont="1">
      <alignment shrinkToFit="0" vertical="bottom" wrapText="1"/>
    </xf>
    <xf borderId="0" fillId="10" fontId="65" numFmtId="0" xfId="0" applyAlignment="1" applyFill="1" applyFont="1">
      <alignment horizontal="left" shrinkToFit="0" vertical="center" wrapText="1"/>
    </xf>
    <xf borderId="0" fillId="9" fontId="24" numFmtId="0" xfId="0" applyAlignment="1" applyFill="1" applyFont="1">
      <alignment shrinkToFit="0" vertical="center" wrapText="1"/>
    </xf>
    <xf borderId="0" fillId="9" fontId="40" numFmtId="0" xfId="0" applyAlignment="1" applyFill="1" applyFont="1">
      <alignment shrinkToFit="0" vertical="top" wrapText="1"/>
    </xf>
    <xf borderId="0" fillId="2" fontId="49" numFmtId="0" xfId="0" applyAlignment="1" applyFill="1" applyFont="1">
      <alignment horizontal="left" readingOrder="0" shrinkToFit="0" vertical="center" wrapText="1"/>
    </xf>
    <xf borderId="0" fillId="2" fontId="49" numFmtId="0" xfId="0" applyAlignment="1" applyFill="1" applyFont="1">
      <alignment horizontal="left" readingOrder="0" shrinkToFit="0" vertical="center" wrapText="1"/>
    </xf>
    <xf borderId="0" fillId="0" fontId="81" numFmtId="0" xfId="0" applyAlignment="1" applyFont="1">
      <alignment readingOrder="0" shrinkToFit="0" vertical="bottom" wrapText="0"/>
    </xf>
    <xf borderId="0" fillId="2" fontId="9" numFmtId="0" xfId="0" applyAlignment="1" applyFill="1" applyFont="1">
      <alignment horizontal="left" readingOrder="0" shrinkToFit="0" vertical="center" wrapText="1"/>
    </xf>
    <xf borderId="0" fillId="0" fontId="82" numFmtId="0" xfId="0" applyAlignment="1" applyFont="1">
      <alignment horizontal="left" readingOrder="0" shrinkToFit="0" vertical="center" wrapText="1"/>
    </xf>
    <xf borderId="0" fillId="0" fontId="66" numFmtId="0" xfId="0" applyAlignment="1" applyFont="1">
      <alignment horizontal="left" shrinkToFit="0" vertical="center" wrapText="1"/>
    </xf>
    <xf borderId="0" fillId="6" fontId="0" numFmtId="0" xfId="0" applyAlignment="1" applyFill="1" applyFont="1">
      <alignment readingOrder="0" shrinkToFit="0" vertical="center" wrapText="1"/>
    </xf>
    <xf borderId="0" fillId="8" fontId="66" numFmtId="0" xfId="0" applyAlignment="1" applyFill="1" applyFont="1">
      <alignment horizontal="left" readingOrder="0" shrinkToFit="0" vertical="center" wrapText="1"/>
    </xf>
    <xf borderId="0" fillId="9" fontId="24" numFmtId="0" xfId="0" applyAlignment="1" applyFill="1" applyFont="1">
      <alignment horizontal="left" readingOrder="0" shrinkToFit="0" vertical="center" wrapText="1"/>
    </xf>
    <xf borderId="0" fillId="9" fontId="24" numFmtId="0" xfId="0" applyAlignment="1" applyFill="1" applyFont="1">
      <alignment horizontal="left" readingOrder="0" shrinkToFit="0" vertical="center" wrapText="1"/>
    </xf>
    <xf borderId="0" fillId="6" fontId="0" numFmtId="0" xfId="0" applyAlignment="1" applyFill="1" applyFont="1">
      <alignment horizontal="left" readingOrder="0" shrinkToFit="0" vertical="center" wrapText="1"/>
    </xf>
    <xf borderId="0" fillId="6" fontId="65" numFmtId="0" xfId="0" applyAlignment="1" applyFill="1" applyFont="1">
      <alignment shrinkToFit="0" vertical="center" wrapText="1"/>
    </xf>
    <xf borderId="0" fillId="6" fontId="66" numFmtId="0" xfId="0" applyAlignment="1" applyFill="1" applyFont="1">
      <alignment horizontal="left" readingOrder="0" shrinkToFit="0" vertical="center" wrapText="1"/>
    </xf>
    <xf borderId="0" fillId="2" fontId="9" numFmtId="0" xfId="0" applyAlignment="1" applyFill="1" applyFont="1">
      <alignment horizontal="left" readingOrder="0" shrinkToFit="0" vertical="center" wrapText="1"/>
    </xf>
    <xf borderId="0" fillId="9" fontId="24" numFmtId="0" xfId="0" applyAlignment="1" applyFill="1" applyFont="1">
      <alignment horizontal="left" readingOrder="0" shrinkToFit="0" vertical="center" wrapText="0"/>
    </xf>
    <xf borderId="0" fillId="0" fontId="66" numFmtId="0" xfId="0" applyAlignment="1" applyFont="1">
      <alignment shrinkToFit="0" vertical="center" wrapText="1"/>
    </xf>
    <xf borderId="0" fillId="0" fontId="83" numFmtId="0" xfId="0" applyAlignment="1" applyFont="1">
      <alignment horizontal="left" readingOrder="0" shrinkToFit="0" vertical="center" wrapText="0"/>
    </xf>
    <xf borderId="0" fillId="0" fontId="39" numFmtId="0" xfId="0" applyAlignment="1" applyFont="1">
      <alignment horizontal="left" shrinkToFit="0" vertical="center" wrapText="1"/>
    </xf>
    <xf borderId="0" fillId="0" fontId="84" numFmtId="0" xfId="0" applyAlignment="1" applyFont="1">
      <alignment horizontal="left" readingOrder="0" shrinkToFit="0" vertical="center" wrapText="0"/>
    </xf>
    <xf borderId="0" fillId="0" fontId="85" numFmtId="0" xfId="0" applyAlignment="1" applyFont="1">
      <alignment horizontal="left" readingOrder="0" shrinkToFit="0" vertical="center" wrapText="0"/>
    </xf>
    <xf borderId="0" fillId="9" fontId="5" numFmtId="0" xfId="0" applyAlignment="1" applyFill="1" applyFont="1">
      <alignment readingOrder="0" shrinkToFit="0" vertical="center" wrapText="1"/>
    </xf>
    <xf borderId="0" fillId="0" fontId="86" numFmtId="0" xfId="0" applyAlignment="1" applyFont="1">
      <alignment horizontal="left" readingOrder="0" shrinkToFit="0" vertical="center" wrapText="1"/>
    </xf>
    <xf borderId="0" fillId="9" fontId="41" numFmtId="0" xfId="0" applyAlignment="1" applyFill="1" applyFont="1">
      <alignment readingOrder="0" shrinkToFit="0" vertical="center" wrapText="1"/>
    </xf>
    <xf borderId="0" fillId="0" fontId="84" numFmtId="0" xfId="0" applyAlignment="1" applyFont="1">
      <alignment horizontal="left" readingOrder="0" shrinkToFit="0" vertical="center" wrapText="1"/>
    </xf>
  </cellXfs>
  <cellStyles count="1">
    <cellStyle xfId="0" name="Normal" builtinId="0"/>
  </cellStyles>
  <dxfs count="8">
    <dxf>
      <font/>
      <fill>
        <patternFill patternType="solid">
          <fgColor rgb="FFB7E1CD"/>
          <bgColor rgb="FFB7E1CD"/>
        </patternFill>
      </fill>
      <border/>
    </dxf>
    <dxf>
      <font/>
      <fill>
        <patternFill patternType="solid">
          <fgColor rgb="FFF4CCCC"/>
          <bgColor rgb="FFF4CCCC"/>
        </patternFill>
      </fill>
      <border/>
    </dxf>
    <dxf>
      <font>
        <b/>
        <color rgb="FFFF0000"/>
      </font>
      <fill>
        <patternFill patternType="solid">
          <fgColor rgb="FFFFFFFF"/>
          <bgColor rgb="FFFFFFFF"/>
        </patternFill>
      </fill>
      <border/>
    </dxf>
    <dxf>
      <font>
        <color rgb="FFA61C00"/>
      </font>
      <fill>
        <patternFill patternType="solid">
          <fgColor rgb="FFF4C7C3"/>
          <bgColor rgb="FFF4C7C3"/>
        </patternFill>
      </fill>
      <border/>
    </dxf>
    <dxf>
      <font/>
      <fill>
        <patternFill patternType="solid">
          <fgColor rgb="FFE06666"/>
          <bgColor rgb="FFE06666"/>
        </patternFill>
      </fill>
      <border/>
    </dxf>
    <dxf>
      <font/>
      <fill>
        <patternFill patternType="solid">
          <fgColor rgb="FFF4C7C3"/>
          <bgColor rgb="FFF4C7C3"/>
        </patternFill>
      </fill>
      <border/>
    </dxf>
    <dxf>
      <font>
        <color rgb="FF85200C"/>
      </font>
      <fill>
        <patternFill patternType="solid">
          <fgColor rgb="FFF4CCCC"/>
          <bgColor rgb="FFF4CCCC"/>
        </patternFill>
      </fill>
      <border/>
    </dxf>
    <dxf>
      <font>
        <b/>
        <color rgb="FF98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ocumenttasks/documenttask1.xml><?xml version="1.0" encoding="utf-8"?>
<Tasks xmlns="http://schemas.microsoft.com/office/tasks/2019/documenttasks">
  <Task id="{3e8599ae-e6c9-4930-9d63-908a2092b494}">
    <Anchor>
      <Comment id="{280167e4-5d40-4cc7-bab3-28d101da93de}"/>
    </Anchor>
    <History>
      <Event time="2026-08-28T14:55:30.00" id="{0e92a14c-3402-4b8f-81d4-18e4c44f0e7c}">
        <Attribution userId="placeholder@email.com" userName="Emily Moore" userProvider="google-sheets"/>
        <Anchor>
          <Comment id="{280167e4-5d40-4cc7-bab3-28d101da93de}"/>
        </Anchor>
        <Create/>
      </Event>
      <Event time="2026-08-28T14:55:30.00" id="{4a3487a8-41b8-4bf8-b287-a5d6595f57bc}">
        <Attribution userId="placeholder@email.com" userName="Emily Moore" userProvider="google-sheets"/>
        <Anchor>
          <Comment id="{280167e4-5d40-4cc7-bab3-28d101da93de}"/>
        </Anchor>
        <Assign userId="kris.sandi.ks1@roche.com" userName="kris.sandi.ks1@roche.com" userProvider="google-sheets"/>
      </Event>
    </History>
  </Task>
</Tasks>
</file>

<file path=xl/documenttasks/documenttask2.xml><?xml version="1.0" encoding="utf-8"?>
<Tasks xmlns="http://schemas.microsoft.com/office/tasks/2019/documenttasks">
  <Task id="{6913cc0d-145b-4dc9-90c4-e5cbc4e4a414}">
    <Anchor>
      <Comment id="{7d70fa97-fd1b-4375-8b44-53f339419314}"/>
    </Anchor>
    <History>
      <Event time="2026-08-13T19:50:47.00" id="{9298d8e8-f3b1-4ab5-9648-8b2aebd61be0}">
        <Attribution userId="placeholder@email.com" userName="Susan Masteller" userProvider="google-sheets"/>
        <Anchor>
          <Comment id="{7f7f50f3-442c-4544-869f-a3b0d5228d1e}"/>
        </Anchor>
        <Create/>
      </Event>
      <Event time="2026-08-13T19:50:47.00" id="{47799e7a-3d1d-4ff5-b6b8-0fc9c29a18b1}">
        <Attribution userId="placeholder@email.com" userName="Susan Masteller" userProvider="google-sheets"/>
        <Anchor>
          <Comment id="{7f7f50f3-442c-4544-869f-a3b0d5228d1e}"/>
        </Anchor>
        <Assign userId="kris.sandi.ks1@roche.com" userName="kris.sandi.ks1@roche.com" userProvider="google-sheets"/>
      </Event>
    </History>
  </Task>
</Tasks>
</file>

<file path=xl/documenttasks/documenttask3.xml><?xml version="1.0" encoding="utf-8"?>
<Tasks xmlns="http://schemas.microsoft.com/office/tasks/2019/documenttasks">
  <Task id="{5adb1fad-322b-470c-992d-cdc349fa6c8d}">
    <Anchor>
      <Comment id="{566b6689-545e-4bc9-bb8b-89ca2d031fec}"/>
    </Anchor>
    <History>
      <Event time="2026-08-28T14:55:49.00" id="{1a8f1208-aad5-409c-b753-e7212635e0e7}">
        <Attribution userId="placeholder@email.com" userName="Emily Moore" userProvider="google-sheets"/>
        <Anchor>
          <Comment id="{566b6689-545e-4bc9-bb8b-89ca2d031fec}"/>
        </Anchor>
        <Create/>
      </Event>
      <Event time="2026-08-28T14:55:49.00" id="{2dd51039-c8f7-4098-8fb2-313376aa6ced}">
        <Attribution userId="placeholder@email.com" userName="Emily Moore" userProvider="google-sheets"/>
        <Anchor>
          <Comment id="{566b6689-545e-4bc9-bb8b-89ca2d031fec}"/>
        </Anchor>
        <Assign userId="kris.sandi.ks1@roche.com" userName="kris.sandi.ks1@roche.com" userProvider="google-sheets"/>
      </Event>
    </History>
  </Task>
  <Task id="{26c994ab-affb-4cb2-99f4-6c8c28c442c6}">
    <Anchor>
      <Comment id="{57a200f5-441f-4c23-99a9-fc8419d33bfe}"/>
    </Anchor>
    <History>
      <Event time="2026-08-28T14:56:00.00" id="{145277d9-b05a-41b3-9dff-7f4924359dcf}">
        <Attribution userId="placeholder@email.com" userName="Emily Moore" userProvider="google-sheets"/>
        <Anchor>
          <Comment id="{57a200f5-441f-4c23-99a9-fc8419d33bfe}"/>
        </Anchor>
        <Create/>
      </Event>
      <Event time="2026-08-28T14:56:00.00" id="{5efb9682-1556-4c74-9b63-8be8c5f87bd6}">
        <Attribution userId="placeholder@email.com" userName="Emily Moore" userProvider="google-sheets"/>
        <Anchor>
          <Comment id="{57a200f5-441f-4c23-99a9-fc8419d33bfe}"/>
        </Anchor>
        <Assign userId="kris.sandi.ks1@roche.com" userName="kris.sandi.ks1@roch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ris Sandi" id="{0f6171fc-6c94-4852-8adc-1d96d684f0e3}" providerId="google-sheets"/>
  <x18tc:person displayName="mastells@external.gene.com" id="{d6286760-4e4f-4703-8e65-6a10b3142169}" userId="mastells@external.gene.com" providerId="google-sheets"/>
  <x18tc:person displayName="Emily Moore" id="{06c69c1e-c917-4213-9fe3-441346bf2acc}" providerId="google-sheets"/>
  <x18tc:person displayName="kris.sandi.ks1@roche.com" id="{d57c4c80-997f-4eaf-b638-952b07bfb9d5}" userId="kris.sandi.ks1@roche.com" providerId="google-sheets"/>
  <x18tc:person displayName="Susan Masteller" id="{d2588a2d-6542-4208-a442-137d0e87cc1e}" providerId="google-sheets"/>
  <x18tc:person displayName="jenalper@publicisgroupe.net" id="{8fc9a073-62e2-469b-b80e-1bb0d31fdd32}" userId="jenalper@publicisgroupe.net"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6-08-28T14:55:30.00" personId="{06c69c1e-c917-4213-9fe3-441346bf2acc}" id="{280167e4-5d40-4cc7-bab3-28d101da93de}" done="0">
    <x18tc:text xml:space="preserve">@kris.sandi.ks1@roche.com Please indicate if this will be ad hoc or CDP. If ad hoc, please indicate the ad hoc list and if there will be any ad hoc fulfillment rules, if not please put "N/A". Also please indicate if there will be any dynamic content or an A/B test or redeploy, if not please put "N/A". Thank you!
cc: @jenalper@publicisgroupe.net
Assigned to kris.sandi.ks1@roche.com</x18tc:text>
    <x18tc:mentions>
      <x18tc:mention mentionpersonId="{d57c4c80-997f-4eaf-b638-952b07bfb9d5}" mentionId="{dfc9c54b-4e0e-4f46-8e24-15e18fdda424}" startIndex="0" length="25"/>
      <x18tc:mention mentionpersonId="{8fc9a073-62e2-469b-b80e-1bb0d31fdd32}" mentionId="{4db23319-1ee5-4c01-b694-04706c39d631}" startIndex="318"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6-08-13T21:04:59.00" personId="{0f6171fc-6c94-4852-8adc-1d96d684f0e3}" id="{fe1d4a56-75ee-4d59-8e7d-ccbfac6f6529}" done="1">
    <x18tc:text xml:space="preserve">@mastells@external.gene.com complete the information for the VAE.</x18tc:text>
    <x18tc:mentions>
      <x18tc:mention mentionpersonId="{d6286760-4e4f-4703-8e65-6a10b3142169}" mentionId="{5bd898c9-0413-4ab2-99a8-8bf2c043ed1b}" startIndex="0" length="27"/>
    </x18tc:mentions>
  </x18tc:threadedComment>
  <x18tc:threadedComment ref="B31" dT="2026-08-14T16:38:13.00" personId="{d2588a2d-6542-4208-a442-137d0e87cc1e}" id="{4c44f627-9b8e-4f2e-b602-6940519a95ec}" parentId="{fe1d4a56-75ee-4d59-8e7d-ccbfac6f6529}">
    <x18tc:text xml:space="preserve">@kris.sandi.ks1@roche.com at this time we are only proceeding with the House/3rd Party versions of this email</x18tc:text>
    <x18tc:mentions>
      <x18tc:mention mentionpersonId="{d57c4c80-997f-4eaf-b638-952b07bfb9d5}" mentionId="{16e13322-4834-4ac2-bfdb-1ca1522331de}" startIndex="0" length="25"/>
    </x18tc:mentions>
  </x18tc:threadedComment>
  <x18tc:threadedComment ref="A2" dT="2026-08-13T16:37:36.00" personId="{0f6171fc-6c94-4852-8adc-1d96d684f0e3}" id="{7d70fa97-fd1b-4375-8b44-53f339419314}" done="1">
    <x18tc:text xml:space="preserve">@mastells@external.gene.com please complete the HOUSE Email Part.
Assigned to mastells@external.gene.com</x18tc:text>
    <x18tc:mentions>
      <x18tc:mention mentionpersonId="{d6286760-4e4f-4703-8e65-6a10b3142169}" mentionId="{a78453dd-54a2-4a3a-bb16-411893324efe}" startIndex="0" length="27"/>
    </x18tc:mentions>
  </x18tc:threadedComment>
  <x18tc:threadedComment ref="A2" dT="2026-08-13T19:50:47.00" personId="{d2588a2d-6542-4208-a442-137d0e87cc1e}" id="{7f7f50f3-442c-4544-869f-a3b0d5228d1e}" parentId="{7d70fa97-fd1b-4375-8b44-53f339419314}">
    <x18tc:text xml:space="preserve">@kris.sandi.ks1@roche.com I'm not sure what is missing, all of the sections in yellow House/3P section are filled in. Can you specify which cell? Thanks
Reassigned to kris.sandi.ks1@roche.com</x18tc:text>
    <x18tc:mentions>
      <x18tc:mention mentionpersonId="{d57c4c80-997f-4eaf-b638-952b07bfb9d5}" mentionId="{ec364142-35ba-44c0-b9b7-2fff59d7107f}" startIndex="0"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 dT="2026-08-28T14:55:49.00" personId="{06c69c1e-c917-4213-9fe3-441346bf2acc}" id="{566b6689-545e-4bc9-bb8b-89ca2d031fec}" done="0">
    <x18tc:text xml:space="preserve">@kris.sandi.ks1@roche.com Please add subject lines
Assigned to kris.sandi.ks1@roche.com</x18tc:text>
    <x18tc:mentions>
      <x18tc:mention mentionpersonId="{d57c4c80-997f-4eaf-b638-952b07bfb9d5}" mentionId="{04a75764-5743-4b7f-ae8b-618dac0d2328}" startIndex="0" length="25"/>
    </x18tc:mentions>
  </x18tc:threadedComment>
  <x18tc:threadedComment ref="B15" dT="2026-08-28T14:56:00.00" personId="{06c69c1e-c917-4213-9fe3-441346bf2acc}" id="{57a200f5-441f-4c23-99a9-fc8419d33bfe}" done="0">
    <x18tc:text xml:space="preserve">@kris.sandi.ks1@roche.com Please add HCP email rating
Assigned to kris.sandi.ks1@roche.com</x18tc:text>
    <x18tc:mentions>
      <x18tc:mention mentionpersonId="{d57c4c80-997f-4eaf-b638-952b07bfb9d5}" mentionId="{4cb20104-bfbf-4e97-b048-fdd1a6c2662f}"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WQMNaAgEyscqaI80XXc-lHGu1Un7Ogt1jeA1AWvwrLE/edit" TargetMode="External"/><Relationship Id="rId5" Type="http://schemas.openxmlformats.org/officeDocument/2006/relationships/hyperlink" Target="https://drive.google.com/drive/folders/13PYzs5Md6Je7bXbplfl4Yu-_L6S7y3lo" TargetMode="External"/><Relationship Id="rId6" Type="http://schemas.openxmlformats.org/officeDocument/2006/relationships/hyperlink" Target="https://genentech.atlassian.net/wiki/spaces/rmemail/pages/415531009/Asset+Codes"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WQMNaAgEyscqaI80XXc-lHGu1Un7Ogt1jeA1AWvwrLE/edit" TargetMode="External"/><Relationship Id="rId5" Type="http://schemas.openxmlformats.org/officeDocument/2006/relationships/hyperlink" Target="https://docs.google.com/spreadsheets/d/1WQMNaAgEyscqaI80XXc-lHGu1Un7Ogt1jeA1AWvwrLE/edit"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gene.com/contact-us" TargetMode="External"/><Relationship Id="rId22" Type="http://schemas.openxmlformats.org/officeDocument/2006/relationships/hyperlink" Target="https://unsubscribe.genentech.com/?source=speaker-bureau" TargetMode="External"/><Relationship Id="rId21" Type="http://schemas.openxmlformats.org/officeDocument/2006/relationships/hyperlink" Target="https://www.google.com/url?q=https://webapp.ramp.gene.com/?email%3D%7B%7Bemail%7D%7D%23/unsubscribe&amp;sa=D&amp;ust=1505940405578000&amp;usg=AFQjCNH0KDZHFoT8JrMnL-v2sHBSXw7FzQ" TargetMode="External"/><Relationship Id="rId24" Type="http://schemas.openxmlformats.org/officeDocument/2006/relationships/hyperlink" Target="https://www.phesgo-hcp.com/" TargetMode="External"/><Relationship Id="rId23" Type="http://schemas.openxmlformats.org/officeDocument/2006/relationships/hyperlink" Target="https://www.perjeta-hcp.com/" TargetMode="External"/><Relationship Id="rId1" Type="http://schemas.openxmlformats.org/officeDocument/2006/relationships/comments" Target="../comments3.xml"/><Relationship Id="rId2" Type="http://schemas.openxmlformats.org/officeDocument/2006/relationships/hyperlink" Target="https://genentech.atlassian.net/servicedesk/customer/portal/16" TargetMode="External"/><Relationship Id="rId3" Type="http://schemas.openxmlformats.org/officeDocument/2006/relationships/hyperlink" Target="https://drive.google.com/drive/folders/1K6RyZRNQZD8Ab_ONPl_8TP3KCzKrtNsI" TargetMode="External"/><Relationship Id="rId4" Type="http://schemas.openxmlformats.org/officeDocument/2006/relationships/hyperlink" Target="https://drive.google.com/drive/folders/1bduerLoiJNCPtSx4Wklqb0RkAufXQ6nY" TargetMode="External"/><Relationship Id="rId9" Type="http://schemas.openxmlformats.org/officeDocument/2006/relationships/hyperlink" Target="https://www.gene.com/download/pdf/phesgo_prescribing.pdf" TargetMode="External"/><Relationship Id="rId26" Type="http://schemas.openxmlformats.org/officeDocument/2006/relationships/drawing" Target="../drawings/drawing3.xml"/><Relationship Id="rId25" Type="http://schemas.openxmlformats.org/officeDocument/2006/relationships/hyperlink" Target="https://www.gene.com/" TargetMode="External"/><Relationship Id="rId27" Type="http://schemas.openxmlformats.org/officeDocument/2006/relationships/vmlDrawing" Target="../drawings/vmlDrawing3.vml"/><Relationship Id="rId5" Type="http://schemas.openxmlformats.org/officeDocument/2006/relationships/hyperlink" Target="https://genentech.atlassian.net/servicedesk/customer/portal/16" TargetMode="External"/><Relationship Id="rId6" Type="http://schemas.openxmlformats.org/officeDocument/2006/relationships/hyperlink" Target="https://drive.google.com/drive/folders/1DtQNm3eZLmltjKKFvntRJ3oyV2aqlGLa" TargetMode="External"/><Relationship Id="rId7" Type="http://schemas.openxmlformats.org/officeDocument/2006/relationships/hyperlink" Target="https://drive.google.com/drive/folders/1VU7tICauXc0B4OQmcHhRiNleSyCixIR5" TargetMode="External"/><Relationship Id="rId8" Type="http://schemas.openxmlformats.org/officeDocument/2006/relationships/hyperlink" Target="https://www.gene.com/download/pdf/perjeta_prescribing.pdf" TargetMode="External"/><Relationship Id="rId11" Type="http://schemas.openxmlformats.org/officeDocument/2006/relationships/hyperlink" Target="https://www.perjeta-hcp.com/metastatic/trial-design.html" TargetMode="External"/><Relationship Id="rId10" Type="http://schemas.openxmlformats.org/officeDocument/2006/relationships/hyperlink" Target="https://www.phesgo-hcp.com/dosing/dosing-administration.html" TargetMode="External"/><Relationship Id="rId13" Type="http://schemas.openxmlformats.org/officeDocument/2006/relationships/hyperlink" Target="https://www.gene.com/privacy-policy" TargetMode="External"/><Relationship Id="rId12" Type="http://schemas.openxmlformats.org/officeDocument/2006/relationships/hyperlink" Target="https://www.gene.com/privacy-policy" TargetMode="External"/><Relationship Id="rId15" Type="http://schemas.openxmlformats.org/officeDocument/2006/relationships/hyperlink" Target="https://www.gene.com/download/pdf/phesgo_prescribing.pdf" TargetMode="External"/><Relationship Id="rId14" Type="http://schemas.openxmlformats.org/officeDocument/2006/relationships/hyperlink" Target="http://www.fda.gov/medwatch" TargetMode="External"/><Relationship Id="rId17" Type="http://schemas.openxmlformats.org/officeDocument/2006/relationships/hyperlink" Target="https://www.gene.com/download/pdf/perjeta_prescribing.pdf" TargetMode="External"/><Relationship Id="rId16" Type="http://schemas.openxmlformats.org/officeDocument/2006/relationships/hyperlink" Target="http://www.fda.gov/medwatch" TargetMode="External"/><Relationship Id="rId19" Type="http://schemas.openxmlformats.org/officeDocument/2006/relationships/hyperlink" Target="https://www.gene.com/terms-conditions" TargetMode="External"/><Relationship Id="rId18" Type="http://schemas.openxmlformats.org/officeDocument/2006/relationships/hyperlink" Target="https://www.gene.com/privacy-policy"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nslx_hAXZI7tLiMVwlo58pciF6861JHdAURt5fnWiTs/edit" TargetMode="External"/><Relationship Id="rId3" Type="http://schemas.openxmlformats.org/officeDocument/2006/relationships/hyperlink" Target="https://docs.google.com/spreadsheets/d/1CNbMTLpShAa-2HWhlZrcyo0v8exjojJJ0plBJXJSb_0/edit" TargetMode="External"/><Relationship Id="rId4" Type="http://schemas.openxmlformats.org/officeDocument/2006/relationships/hyperlink" Target="https://docs.google.com/spreadsheets/d/1BYOGMQPJt0G2R5EMdUqQ2HzqBGCHGIB_aNGPOlyKgtg/edit?gid=60364941" TargetMode="External"/><Relationship Id="rId9" Type="http://schemas.openxmlformats.org/officeDocument/2006/relationships/vmlDrawing" Target="../drawings/vmlDrawing4.vml"/><Relationship Id="rId5" Type="http://schemas.openxmlformats.org/officeDocument/2006/relationships/hyperlink" Target="https://genentech.atlassian.net/wiki/spaces/rmemail/pages/1024196641/Oncology+Deployment+Sequencing+Program?focusedCommentId=1076265232" TargetMode="External"/><Relationship Id="rId6" Type="http://schemas.openxmlformats.org/officeDocument/2006/relationships/hyperlink" Target="https://www.drugpricinglaw.com/vt.html" TargetMode="External"/><Relationship Id="rId7" Type="http://schemas.openxmlformats.org/officeDocument/2006/relationships/hyperlink" Target="https://genentech.atlassian.net/wiki/spaces/rmemail/pages/417955993/How+to+name+a+RAMP+template"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CNbMTLpShAa-2HWhlZrcyo0v8exjojJJ0plBJXJSb_0/edit" TargetMode="External"/><Relationship Id="rId5" Type="http://schemas.openxmlformats.org/officeDocument/2006/relationships/drawing" Target="../drawings/drawing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outlineLevelCol="1" outlineLevelRow="2"/>
  <cols>
    <col customWidth="1" min="1" max="3" width="38.75"/>
    <col customWidth="1" min="4" max="4" width="9.0"/>
  </cols>
  <sheetData>
    <row r="1">
      <c r="A1" s="2" t="s">
        <v>0</v>
      </c>
      <c r="B1" s="6"/>
      <c r="D1" s="7"/>
    </row>
    <row r="2" ht="15.0" customHeight="1">
      <c r="A2" s="10"/>
      <c r="B2" s="12" t="s">
        <v>1</v>
      </c>
      <c r="C2" s="12" t="s">
        <v>2</v>
      </c>
      <c r="D2" s="10" t="s">
        <v>4</v>
      </c>
    </row>
    <row r="3" ht="15.0" customHeight="1">
      <c r="A3" s="16" t="s">
        <v>12</v>
      </c>
    </row>
    <row r="4" ht="15.0" customHeight="1">
      <c r="A4" s="18" t="s">
        <v>13</v>
      </c>
      <c r="B4" s="20"/>
      <c r="C4" s="23" t="s">
        <v>18</v>
      </c>
      <c r="D4" s="26" t="s">
        <v>20</v>
      </c>
    </row>
    <row r="5" ht="15.0" customHeight="1">
      <c r="A5" s="18" t="s">
        <v>23</v>
      </c>
      <c r="B5" s="34" t="s">
        <v>24</v>
      </c>
      <c r="C5" s="23" t="s">
        <v>31</v>
      </c>
      <c r="D5" s="26" t="s">
        <v>20</v>
      </c>
    </row>
    <row r="6" ht="15.0" customHeight="1">
      <c r="A6" s="18" t="s">
        <v>32</v>
      </c>
      <c r="B6" s="36"/>
      <c r="C6" s="23" t="s">
        <v>33</v>
      </c>
      <c r="D6" s="26" t="s">
        <v>20</v>
      </c>
    </row>
    <row r="7" ht="15.0" customHeight="1">
      <c r="A7" s="18" t="s">
        <v>35</v>
      </c>
      <c r="B7" s="38"/>
      <c r="C7" s="23" t="s">
        <v>39</v>
      </c>
      <c r="D7" s="26" t="s">
        <v>20</v>
      </c>
    </row>
    <row r="8" ht="15.0" customHeight="1">
      <c r="A8" s="18" t="s">
        <v>40</v>
      </c>
      <c r="B8" s="42"/>
      <c r="C8" s="23" t="s">
        <v>42</v>
      </c>
      <c r="D8" s="26" t="s">
        <v>20</v>
      </c>
    </row>
    <row r="9" ht="15.0" customHeight="1">
      <c r="A9" s="18" t="s">
        <v>45</v>
      </c>
      <c r="B9" s="42"/>
      <c r="C9" s="23" t="s">
        <v>46</v>
      </c>
      <c r="D9" s="26" t="s">
        <v>20</v>
      </c>
    </row>
    <row r="10" ht="15.0" customHeight="1">
      <c r="A10" s="18" t="s">
        <v>47</v>
      </c>
      <c r="B10" s="47" t="s">
        <v>49</v>
      </c>
      <c r="C10" s="23" t="s">
        <v>57</v>
      </c>
      <c r="D10" s="26" t="s">
        <v>20</v>
      </c>
    </row>
    <row r="11" ht="21.0" customHeight="1">
      <c r="A11" s="16" t="s">
        <v>59</v>
      </c>
    </row>
    <row r="12" ht="15.0" customHeight="1">
      <c r="A12" s="18" t="s">
        <v>61</v>
      </c>
      <c r="B12" s="48" t="s">
        <v>63</v>
      </c>
      <c r="C12" s="50" t="s">
        <v>67</v>
      </c>
      <c r="D12" s="26" t="s">
        <v>20</v>
      </c>
    </row>
    <row r="13" ht="15.0" customHeight="1">
      <c r="A13" s="18" t="s">
        <v>72</v>
      </c>
      <c r="B13" s="48" t="s">
        <v>73</v>
      </c>
      <c r="C13" s="50" t="s">
        <v>74</v>
      </c>
      <c r="D13" s="26" t="s">
        <v>20</v>
      </c>
    </row>
    <row r="14" ht="15.0" customHeight="1">
      <c r="A14" s="18" t="s">
        <v>22</v>
      </c>
      <c r="B14" s="48" t="s">
        <v>83</v>
      </c>
      <c r="C14" s="23"/>
      <c r="D14" s="26" t="s">
        <v>20</v>
      </c>
    </row>
    <row r="15" ht="15.0" customHeight="1">
      <c r="A15" s="18" t="s">
        <v>43</v>
      </c>
      <c r="B15" s="48" t="s">
        <v>83</v>
      </c>
      <c r="C15" s="23"/>
      <c r="D15" s="26" t="s">
        <v>20</v>
      </c>
    </row>
    <row r="16" ht="15.0" customHeight="1">
      <c r="A16" s="57" t="s">
        <v>91</v>
      </c>
      <c r="B16" s="60" t="s">
        <v>93</v>
      </c>
      <c r="C16" s="61"/>
      <c r="D16" s="63" t="s">
        <v>20</v>
      </c>
    </row>
    <row r="17" ht="15.0" customHeight="1">
      <c r="A17" s="18" t="s">
        <v>97</v>
      </c>
      <c r="B17" s="65" t="s">
        <v>98</v>
      </c>
      <c r="C17" s="23" t="s">
        <v>99</v>
      </c>
      <c r="D17" s="26" t="s">
        <v>20</v>
      </c>
    </row>
    <row r="18" ht="15.0" customHeight="1">
      <c r="A18" s="18" t="s">
        <v>101</v>
      </c>
      <c r="B18" s="48" t="s">
        <v>103</v>
      </c>
      <c r="C18" s="50" t="s">
        <v>105</v>
      </c>
      <c r="D18" s="26" t="s">
        <v>20</v>
      </c>
    </row>
    <row r="19" ht="15.0" customHeight="1">
      <c r="A19" s="69" t="s">
        <v>106</v>
      </c>
      <c r="B19" s="71" t="s">
        <v>107</v>
      </c>
      <c r="C19" s="79" t="s">
        <v>110</v>
      </c>
      <c r="D19" s="26" t="s">
        <v>20</v>
      </c>
    </row>
    <row r="20" ht="15.0" customHeight="1">
      <c r="A20" s="84" t="s">
        <v>118</v>
      </c>
      <c r="B20" s="86" t="s">
        <v>121</v>
      </c>
      <c r="D20" s="26" t="s">
        <v>20</v>
      </c>
    </row>
    <row r="21" ht="15.0" customHeight="1">
      <c r="A21" s="18" t="s">
        <v>112</v>
      </c>
      <c r="B21" s="48" t="s">
        <v>123</v>
      </c>
      <c r="C21" s="88" t="s">
        <v>124</v>
      </c>
      <c r="D21" s="26" t="s">
        <v>20</v>
      </c>
    </row>
    <row r="22" ht="15.0" customHeight="1">
      <c r="A22" s="16" t="s">
        <v>125</v>
      </c>
    </row>
    <row r="23" ht="15.0" customHeight="1">
      <c r="A23" s="90" t="s">
        <v>126</v>
      </c>
    </row>
    <row r="24" ht="15.0" customHeight="1">
      <c r="A24" s="92" t="s">
        <v>127</v>
      </c>
      <c r="B24" s="95" t="s">
        <v>93</v>
      </c>
      <c r="C24" s="97" t="s">
        <v>131</v>
      </c>
      <c r="D24" s="26" t="s">
        <v>20</v>
      </c>
    </row>
    <row r="25" ht="15.0" customHeight="1">
      <c r="A25" s="100" t="s">
        <v>132</v>
      </c>
      <c r="B25" s="48"/>
      <c r="C25" s="23"/>
      <c r="D25" s="26" t="s">
        <v>20</v>
      </c>
    </row>
    <row r="26" ht="15.0" customHeight="1">
      <c r="A26" s="104" t="s">
        <v>136</v>
      </c>
      <c r="B26" s="48"/>
      <c r="C26" s="23" t="s">
        <v>138</v>
      </c>
      <c r="D26" s="26" t="s">
        <v>20</v>
      </c>
    </row>
    <row r="27" ht="15.0" customHeight="1">
      <c r="A27" s="104" t="s">
        <v>139</v>
      </c>
      <c r="B27" s="48"/>
      <c r="C27" s="23" t="s">
        <v>141</v>
      </c>
      <c r="D27" s="26" t="s">
        <v>20</v>
      </c>
    </row>
    <row r="28" ht="15.0" customHeight="1">
      <c r="A28" s="90" t="s">
        <v>142</v>
      </c>
    </row>
    <row r="29" ht="15.0" customHeight="1">
      <c r="A29" s="107" t="s">
        <v>143</v>
      </c>
      <c r="B29" s="108"/>
      <c r="C29" s="109" t="s">
        <v>144</v>
      </c>
      <c r="D29" s="110" t="s">
        <v>20</v>
      </c>
    </row>
    <row r="30" ht="15.0" customHeight="1">
      <c r="A30" s="90" t="s">
        <v>146</v>
      </c>
    </row>
    <row r="31" ht="15.0" customHeight="1">
      <c r="A31" s="112" t="s">
        <v>147</v>
      </c>
      <c r="B31" s="115"/>
      <c r="C31" s="116" t="s">
        <v>150</v>
      </c>
      <c r="D31" s="26" t="s">
        <v>20</v>
      </c>
    </row>
    <row r="32" ht="15.0" customHeight="1">
      <c r="A32" s="112" t="s">
        <v>152</v>
      </c>
      <c r="B32" s="115"/>
      <c r="C32" s="116" t="s">
        <v>154</v>
      </c>
      <c r="D32" s="26" t="s">
        <v>20</v>
      </c>
    </row>
    <row r="33" ht="15.0" customHeight="1">
      <c r="A33" s="112" t="s">
        <v>155</v>
      </c>
      <c r="B33" s="115"/>
      <c r="C33" s="116" t="s">
        <v>156</v>
      </c>
      <c r="D33" s="26" t="s">
        <v>20</v>
      </c>
    </row>
    <row r="34" ht="15.0" customHeight="1">
      <c r="A34" s="10" t="s">
        <v>157</v>
      </c>
    </row>
    <row r="35" ht="15.0" customHeight="1">
      <c r="A35" s="120" t="s">
        <v>158</v>
      </c>
      <c r="B35" s="122"/>
      <c r="C35" s="123"/>
      <c r="D35" s="26" t="s">
        <v>20</v>
      </c>
    </row>
    <row r="36" ht="15.0" customHeight="1">
      <c r="A36" s="120" t="s">
        <v>160</v>
      </c>
      <c r="B36" s="48"/>
      <c r="C36" s="116" t="s">
        <v>161</v>
      </c>
      <c r="D36" s="26" t="s">
        <v>20</v>
      </c>
    </row>
    <row r="37" ht="15.0" customHeight="1">
      <c r="A37" s="126" t="s">
        <v>163</v>
      </c>
      <c r="B37" s="48"/>
      <c r="C37" s="116" t="s">
        <v>165</v>
      </c>
      <c r="D37" s="26" t="s">
        <v>20</v>
      </c>
    </row>
    <row r="38" ht="15.0" customHeight="1">
      <c r="A38" s="112" t="s">
        <v>166</v>
      </c>
      <c r="B38" s="48"/>
      <c r="C38" s="116"/>
      <c r="D38" s="26" t="s">
        <v>20</v>
      </c>
    </row>
  </sheetData>
  <mergeCells count="9">
    <mergeCell ref="A30:D30"/>
    <mergeCell ref="A34:D34"/>
    <mergeCell ref="B1:C1"/>
    <mergeCell ref="A3:D3"/>
    <mergeCell ref="A11:D11"/>
    <mergeCell ref="C19:C20"/>
    <mergeCell ref="A22:D22"/>
    <mergeCell ref="A23:D23"/>
    <mergeCell ref="A28:D28"/>
  </mergeCells>
  <conditionalFormatting sqref="B35">
    <cfRule type="notContainsBlanks" dxfId="0" priority="1">
      <formula>LEN(TRIM(B35))&gt;0</formula>
    </cfRule>
  </conditionalFormatting>
  <conditionalFormatting sqref="B24">
    <cfRule type="cellIs" dxfId="1" priority="2" operator="equal">
      <formula>"Yes"</formula>
    </cfRule>
  </conditionalFormatting>
  <conditionalFormatting sqref="B29">
    <cfRule type="cellIs" dxfId="2" priority="3" operator="greaterThan">
      <formula>50</formula>
    </cfRule>
  </conditionalFormatting>
  <dataValidations>
    <dataValidation type="list" allowBlank="1" sqref="B14:B15 B31 B35 B37:B38">
      <formula1>"Yes,No"</formula1>
    </dataValidation>
    <dataValidation type="list" allowBlank="1" showErrorMessage="1" sqref="B25">
      <formula1>"Ad Hoc List,CDP Audience Activation"</formula1>
    </dataValidation>
    <dataValidation type="list" allowBlank="1" sqref="B16">
      <formula1>"Yes,No"</formula1>
    </dataValidation>
    <dataValidation type="list" allowBlank="1" sqref="B18">
      <formula1>"Patient,HCP"</formula1>
    </dataValidation>
    <dataValidation type="list" allowBlank="1" sqref="B24">
      <formula1>"Yes,No"</formula1>
    </dataValidation>
  </dataValidations>
  <hyperlinks>
    <hyperlink r:id="rId4" location="gid=0" ref="B5"/>
    <hyperlink r:id="rId5" ref="B10"/>
    <hyperlink r:id="rId6" ref="C19"/>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sheetViews>
  <sheetFormatPr customHeight="1" defaultColWidth="12.63" defaultRowHeight="12.75" outlineLevelCol="1" outlineLevelRow="2"/>
  <cols>
    <col customWidth="1" min="1" max="1" width="27.5"/>
    <col collapsed="1" customWidth="1" min="2" max="2" width="83.75"/>
    <col customWidth="1" hidden="1" min="3" max="3" width="59.5" outlineLevel="1"/>
  </cols>
  <sheetData>
    <row r="1">
      <c r="C1" s="4"/>
    </row>
    <row r="2" outlineLevel="1">
      <c r="C2" s="8" t="s">
        <v>6</v>
      </c>
    </row>
    <row r="3" outlineLevel="1">
      <c r="A3" s="11" t="s">
        <v>8</v>
      </c>
      <c r="B3" s="13" t="s">
        <v>10</v>
      </c>
      <c r="C3" s="15" t="s">
        <v>11</v>
      </c>
    </row>
    <row r="4" outlineLevel="1">
      <c r="A4" s="11"/>
      <c r="B4" s="13"/>
      <c r="C4" s="19"/>
    </row>
    <row r="5" outlineLevel="2">
      <c r="A5" s="11" t="s">
        <v>15</v>
      </c>
      <c r="B5" s="13" t="s">
        <v>16</v>
      </c>
      <c r="C5" s="30" t="s">
        <v>17</v>
      </c>
    </row>
    <row r="6" outlineLevel="2">
      <c r="A6" s="32" t="s">
        <v>27</v>
      </c>
      <c r="B6" s="33" t="s">
        <v>28</v>
      </c>
      <c r="C6" s="30" t="s">
        <v>29</v>
      </c>
    </row>
    <row r="7" outlineLevel="2">
      <c r="A7" s="11"/>
      <c r="B7" s="13"/>
      <c r="C7" s="37"/>
    </row>
    <row r="8" outlineLevel="2">
      <c r="A8" s="11" t="s">
        <v>36</v>
      </c>
      <c r="B8" s="13" t="s">
        <v>37</v>
      </c>
      <c r="C8" s="37" t="s">
        <v>38</v>
      </c>
    </row>
    <row r="9" outlineLevel="1">
      <c r="A9" s="43"/>
      <c r="B9" s="13"/>
      <c r="C9" s="15" t="s">
        <v>48</v>
      </c>
    </row>
    <row r="10" outlineLevel="1">
      <c r="A10" s="11" t="s">
        <v>50</v>
      </c>
      <c r="B10" s="13" t="s">
        <v>51</v>
      </c>
      <c r="C10" s="46">
        <f t="shared" ref="C10:C12" si="1">LEN(B10)</f>
        <v>47</v>
      </c>
    </row>
    <row r="11" outlineLevel="1">
      <c r="A11" s="11" t="s">
        <v>53</v>
      </c>
      <c r="B11" s="13" t="s">
        <v>54</v>
      </c>
      <c r="C11" s="46">
        <f t="shared" si="1"/>
        <v>66</v>
      </c>
    </row>
    <row r="12" outlineLevel="1">
      <c r="A12" s="11" t="s">
        <v>55</v>
      </c>
      <c r="B12" s="13" t="s">
        <v>56</v>
      </c>
      <c r="C12" s="46">
        <f t="shared" si="1"/>
        <v>62</v>
      </c>
    </row>
    <row r="13" outlineLevel="1">
      <c r="A13" s="11" t="s">
        <v>58</v>
      </c>
      <c r="B13" s="13" t="s">
        <v>60</v>
      </c>
      <c r="C13" s="46"/>
    </row>
    <row r="14" outlineLevel="1">
      <c r="A14" s="11" t="s">
        <v>62</v>
      </c>
      <c r="B14" s="13" t="s">
        <v>64</v>
      </c>
      <c r="C14" s="46"/>
    </row>
    <row r="15" outlineLevel="1">
      <c r="A15" s="11" t="s">
        <v>65</v>
      </c>
      <c r="B15" s="13" t="s">
        <v>66</v>
      </c>
      <c r="C15" s="46"/>
    </row>
    <row r="16" outlineLevel="1">
      <c r="A16" s="11" t="s">
        <v>68</v>
      </c>
      <c r="B16" s="13" t="s">
        <v>69</v>
      </c>
      <c r="C16" s="46"/>
    </row>
    <row r="17" ht="24.75" customHeight="1" outlineLevel="1">
      <c r="A17" s="11"/>
      <c r="B17" s="13"/>
      <c r="C17" s="52" t="s">
        <v>71</v>
      </c>
    </row>
    <row r="18" outlineLevel="1">
      <c r="A18" s="11" t="s">
        <v>75</v>
      </c>
      <c r="B18" s="13" t="s">
        <v>76</v>
      </c>
      <c r="C18" s="52"/>
    </row>
    <row r="19" outlineLevel="1">
      <c r="A19" s="11" t="s">
        <v>78</v>
      </c>
      <c r="B19" s="13" t="s">
        <v>80</v>
      </c>
      <c r="C19" s="52"/>
    </row>
    <row r="20" outlineLevel="1">
      <c r="A20" s="11" t="s">
        <v>81</v>
      </c>
      <c r="B20" s="13" t="s">
        <v>82</v>
      </c>
      <c r="C20" s="52"/>
    </row>
    <row r="21" outlineLevel="1">
      <c r="A21" s="11" t="s">
        <v>84</v>
      </c>
      <c r="B21" s="13" t="s">
        <v>85</v>
      </c>
      <c r="C21" s="52"/>
    </row>
    <row r="22" outlineLevel="1">
      <c r="A22" s="11" t="s">
        <v>86</v>
      </c>
      <c r="B22" s="13" t="s">
        <v>76</v>
      </c>
      <c r="C22" s="52"/>
    </row>
    <row r="23" outlineLevel="1">
      <c r="A23" s="11" t="s">
        <v>87</v>
      </c>
      <c r="B23" s="13" t="s">
        <v>88</v>
      </c>
      <c r="C23" s="52"/>
    </row>
    <row r="24" outlineLevel="1">
      <c r="A24" s="11" t="s">
        <v>89</v>
      </c>
      <c r="B24" s="13" t="s">
        <v>90</v>
      </c>
      <c r="C24" s="46">
        <f t="shared" ref="C24:C25" si="2">LEN(B24)</f>
        <v>39</v>
      </c>
    </row>
    <row r="25" outlineLevel="1">
      <c r="A25" s="11"/>
      <c r="B25" s="13"/>
      <c r="C25" s="46">
        <f t="shared" si="2"/>
        <v>0</v>
      </c>
    </row>
    <row r="26" collapsed="1">
      <c r="A26" s="11"/>
      <c r="B26" s="13"/>
      <c r="C26" s="4"/>
    </row>
    <row r="27" hidden="1" outlineLevel="1">
      <c r="A27" s="11"/>
      <c r="B27" s="13"/>
      <c r="C27" s="4"/>
    </row>
    <row r="28" hidden="1" outlineLevel="1">
      <c r="A28" s="11"/>
      <c r="B28" s="13"/>
      <c r="C28" s="4"/>
    </row>
    <row r="29" hidden="1" outlineLevel="1">
      <c r="A29" s="11"/>
      <c r="B29" s="13"/>
      <c r="C29" s="4"/>
    </row>
    <row r="30" hidden="1" outlineLevel="1">
      <c r="A30" s="11"/>
      <c r="B30" s="13"/>
      <c r="C30" s="4"/>
    </row>
    <row r="31" hidden="1" outlineLevel="1">
      <c r="A31" s="11"/>
      <c r="B31" s="13"/>
      <c r="C31" s="67" t="s">
        <v>102</v>
      </c>
    </row>
    <row r="32" hidden="1" outlineLevel="1">
      <c r="A32" s="70" t="s">
        <v>8</v>
      </c>
      <c r="B32" s="72" t="s">
        <v>108</v>
      </c>
      <c r="C32" s="74" t="s">
        <v>111</v>
      </c>
    </row>
    <row r="33" hidden="1" outlineLevel="1">
      <c r="A33" s="70"/>
      <c r="B33" s="13"/>
      <c r="C33" s="76"/>
    </row>
    <row r="34" hidden="1" outlineLevel="1">
      <c r="A34" s="70"/>
      <c r="B34" s="13"/>
      <c r="C34" s="76"/>
    </row>
    <row r="35" hidden="1" outlineLevel="1">
      <c r="A35" s="70" t="s">
        <v>114</v>
      </c>
      <c r="B35" s="13" t="s">
        <v>115</v>
      </c>
      <c r="C35" s="78" t="s">
        <v>38</v>
      </c>
    </row>
    <row r="36" hidden="1" outlineLevel="1">
      <c r="A36" s="70" t="s">
        <v>36</v>
      </c>
      <c r="B36" s="72" t="s">
        <v>117</v>
      </c>
      <c r="C36" s="78" t="s">
        <v>38</v>
      </c>
    </row>
    <row r="37" hidden="1" outlineLevel="1">
      <c r="A37" s="81"/>
      <c r="B37" s="13"/>
      <c r="C37" s="76"/>
    </row>
    <row r="38" hidden="1" outlineLevel="1">
      <c r="A38" s="81"/>
      <c r="B38" s="13"/>
      <c r="C38" s="87" t="s">
        <v>119</v>
      </c>
    </row>
    <row r="39" hidden="1" outlineLevel="1">
      <c r="A39" s="89" t="s">
        <v>50</v>
      </c>
      <c r="B39" s="13"/>
      <c r="C39" s="46">
        <f t="shared" ref="C39:C41" si="3">LEN(B39)</f>
        <v>0</v>
      </c>
    </row>
    <row r="40" hidden="1" outlineLevel="1">
      <c r="A40" s="89" t="s">
        <v>53</v>
      </c>
      <c r="B40" s="13"/>
      <c r="C40" s="46">
        <f t="shared" si="3"/>
        <v>0</v>
      </c>
    </row>
    <row r="41" hidden="1" outlineLevel="1">
      <c r="A41" s="89" t="s">
        <v>55</v>
      </c>
      <c r="B41" s="13"/>
      <c r="C41" s="46">
        <f t="shared" si="3"/>
        <v>0</v>
      </c>
    </row>
    <row r="42" hidden="1" outlineLevel="1">
      <c r="A42" s="81"/>
      <c r="B42" s="13"/>
      <c r="C42" s="13"/>
    </row>
    <row r="43" hidden="1" outlineLevel="1">
      <c r="A43" s="99" t="s">
        <v>130</v>
      </c>
      <c r="B43" s="102" t="s">
        <v>134</v>
      </c>
      <c r="C43" s="103" t="s">
        <v>135</v>
      </c>
    </row>
    <row r="44" hidden="1" outlineLevel="1">
      <c r="A44" s="43"/>
      <c r="B44" s="13"/>
      <c r="C44" s="13"/>
    </row>
    <row r="45" hidden="1" outlineLevel="1">
      <c r="A45" s="43"/>
      <c r="B45" s="13"/>
      <c r="C45" s="13"/>
    </row>
    <row r="46" hidden="1" outlineLevel="1">
      <c r="A46" s="43"/>
      <c r="B46" s="13"/>
      <c r="C46" s="13"/>
    </row>
    <row r="47" hidden="1" outlineLevel="1">
      <c r="A47" s="43"/>
      <c r="B47" s="13"/>
      <c r="C47" s="13"/>
    </row>
    <row r="48" hidden="1" outlineLevel="1">
      <c r="A48" s="43"/>
      <c r="B48" s="13"/>
      <c r="C48" s="13"/>
    </row>
    <row r="49" hidden="1" outlineLevel="1">
      <c r="A49" s="43"/>
      <c r="B49" s="13"/>
      <c r="C49" s="13"/>
    </row>
    <row r="50" hidden="1" outlineLevel="1">
      <c r="A50" s="43"/>
      <c r="B50" s="13"/>
      <c r="C50" s="13"/>
    </row>
    <row r="51" hidden="1" outlineLevel="1">
      <c r="A51" s="43"/>
      <c r="B51" s="13"/>
      <c r="C51" s="13"/>
    </row>
    <row r="52" hidden="1" outlineLevel="1">
      <c r="A52" s="43"/>
      <c r="B52" s="13"/>
      <c r="C52" s="13"/>
    </row>
    <row r="53" hidden="1" outlineLevel="1">
      <c r="A53" s="43"/>
      <c r="B53" s="13"/>
      <c r="C53" s="13"/>
    </row>
    <row r="54" hidden="1" outlineLevel="1">
      <c r="A54" s="43"/>
      <c r="B54" s="13"/>
      <c r="C54" s="13"/>
    </row>
    <row r="55" hidden="1" outlineLevel="1">
      <c r="A55" s="43"/>
      <c r="B55" s="13"/>
      <c r="C55" s="13"/>
    </row>
    <row r="56" hidden="1" outlineLevel="1">
      <c r="A56" s="43"/>
      <c r="B56" s="13"/>
      <c r="C56" s="13"/>
    </row>
    <row r="57" hidden="1" outlineLevel="1">
      <c r="A57" s="43"/>
      <c r="B57" s="13"/>
      <c r="C57" s="13"/>
    </row>
    <row r="58" hidden="1" outlineLevel="1">
      <c r="A58" s="43"/>
      <c r="B58" s="13"/>
      <c r="C58" s="13"/>
    </row>
    <row r="59" hidden="1" outlineLevel="1">
      <c r="A59" s="43"/>
      <c r="B59" s="13"/>
      <c r="C59" s="13"/>
    </row>
    <row r="60" hidden="1" outlineLevel="1">
      <c r="A60" s="43"/>
      <c r="B60" s="13"/>
      <c r="C60" s="13"/>
    </row>
    <row r="61" hidden="1" outlineLevel="1">
      <c r="A61" s="43"/>
      <c r="B61" s="13"/>
      <c r="C61" s="13"/>
    </row>
    <row r="62" hidden="1" outlineLevel="1">
      <c r="A62" s="43"/>
      <c r="B62" s="13"/>
      <c r="C62" s="13"/>
    </row>
    <row r="63" hidden="1" outlineLevel="1">
      <c r="A63" s="43"/>
      <c r="B63" s="13"/>
      <c r="C63" s="13"/>
    </row>
    <row r="64" hidden="1" outlineLevel="1">
      <c r="A64" s="43"/>
      <c r="B64" s="13"/>
      <c r="C64" s="13"/>
    </row>
    <row r="65" hidden="1" outlineLevel="1">
      <c r="A65" s="43"/>
      <c r="B65" s="13"/>
      <c r="C65" s="13"/>
    </row>
    <row r="66" hidden="1" outlineLevel="1">
      <c r="A66" s="43"/>
      <c r="B66" s="13"/>
      <c r="C66" s="13"/>
    </row>
    <row r="67" hidden="1" outlineLevel="1">
      <c r="A67" s="43"/>
      <c r="B67" s="13"/>
      <c r="C67" s="13"/>
    </row>
    <row r="68" hidden="1" outlineLevel="1">
      <c r="A68" s="43"/>
      <c r="B68" s="13"/>
      <c r="C68" s="13"/>
    </row>
    <row r="69" hidden="1" outlineLevel="1">
      <c r="A69" s="43"/>
      <c r="B69" s="13"/>
      <c r="C69" s="13"/>
    </row>
    <row r="70" hidden="1" outlineLevel="1">
      <c r="A70" s="43"/>
      <c r="B70" s="13"/>
      <c r="C70" s="13"/>
    </row>
    <row r="71" hidden="1" outlineLevel="1">
      <c r="A71" s="43"/>
      <c r="B71" s="13"/>
      <c r="C71" s="13"/>
    </row>
    <row r="72" hidden="1" outlineLevel="1">
      <c r="A72" s="43"/>
      <c r="B72" s="13"/>
      <c r="C72" s="13"/>
    </row>
    <row r="73" hidden="1" outlineLevel="1">
      <c r="A73" s="43"/>
      <c r="B73" s="13"/>
      <c r="C73" s="13"/>
    </row>
    <row r="74" hidden="1" outlineLevel="1">
      <c r="A74" s="43"/>
      <c r="B74" s="13"/>
      <c r="C74" s="13"/>
    </row>
    <row r="75" hidden="1" outlineLevel="1">
      <c r="A75" s="43"/>
      <c r="B75" s="13"/>
      <c r="C75" s="13"/>
    </row>
    <row r="76" hidden="1" outlineLevel="1">
      <c r="A76" s="43"/>
      <c r="B76" s="13"/>
      <c r="C76" s="13"/>
    </row>
    <row r="77" hidden="1" outlineLevel="1">
      <c r="A77" s="43"/>
      <c r="B77" s="13"/>
      <c r="C77" s="13"/>
    </row>
    <row r="78" hidden="1" outlineLevel="1">
      <c r="A78" s="43"/>
      <c r="B78" s="13"/>
      <c r="C78" s="13"/>
    </row>
    <row r="79" hidden="1" outlineLevel="1">
      <c r="A79" s="43"/>
      <c r="B79" s="13"/>
      <c r="C79" s="13"/>
    </row>
    <row r="80" hidden="1" outlineLevel="1">
      <c r="A80" s="43"/>
      <c r="B80" s="13"/>
      <c r="C80" s="13"/>
    </row>
    <row r="81" hidden="1" outlineLevel="1">
      <c r="A81" s="43"/>
      <c r="B81" s="13"/>
      <c r="C81" s="13"/>
    </row>
    <row r="82" hidden="1" outlineLevel="1">
      <c r="A82" s="43"/>
      <c r="B82" s="13"/>
      <c r="C82" s="13"/>
    </row>
    <row r="83" hidden="1" outlineLevel="1">
      <c r="A83" s="43"/>
      <c r="B83" s="13"/>
      <c r="C83" s="13"/>
    </row>
    <row r="84" hidden="1" outlineLevel="1">
      <c r="A84" s="43"/>
      <c r="B84" s="13"/>
      <c r="C84" s="13"/>
    </row>
    <row r="85" hidden="1" outlineLevel="1">
      <c r="A85" s="43"/>
      <c r="B85" s="13"/>
      <c r="C85" s="13"/>
    </row>
    <row r="86" hidden="1" outlineLevel="1">
      <c r="A86" s="43"/>
      <c r="B86" s="13"/>
      <c r="C86" s="13"/>
    </row>
    <row r="87" hidden="1" outlineLevel="1">
      <c r="A87" s="43"/>
      <c r="B87" s="13"/>
      <c r="C87" s="13"/>
    </row>
    <row r="88" hidden="1" outlineLevel="1">
      <c r="A88" s="43"/>
      <c r="B88" s="13"/>
      <c r="C88" s="13"/>
    </row>
    <row r="89" hidden="1" outlineLevel="1">
      <c r="A89" s="43"/>
      <c r="B89" s="13"/>
      <c r="C89" s="13"/>
    </row>
    <row r="90" hidden="1" outlineLevel="1">
      <c r="A90" s="43"/>
      <c r="B90" s="13"/>
      <c r="C90" s="13"/>
    </row>
    <row r="91" hidden="1" outlineLevel="1">
      <c r="A91" s="43"/>
      <c r="B91" s="13"/>
      <c r="C91" s="13"/>
    </row>
    <row r="92" hidden="1" outlineLevel="1">
      <c r="A92" s="43"/>
      <c r="B92" s="13"/>
      <c r="C92" s="13"/>
    </row>
    <row r="93" hidden="1" outlineLevel="1">
      <c r="A93" s="43"/>
      <c r="B93" s="13"/>
      <c r="C93" s="13"/>
    </row>
    <row r="94" hidden="1" outlineLevel="1">
      <c r="A94" s="43"/>
      <c r="B94" s="13"/>
      <c r="C94" s="13"/>
    </row>
    <row r="95" hidden="1" outlineLevel="1">
      <c r="A95" s="43"/>
      <c r="B95" s="13"/>
      <c r="C95" s="13"/>
    </row>
    <row r="96" hidden="1" outlineLevel="1">
      <c r="A96" s="43"/>
      <c r="B96" s="13"/>
      <c r="C96" s="13"/>
    </row>
    <row r="97" hidden="1" outlineLevel="1">
      <c r="A97" s="43"/>
      <c r="B97" s="13"/>
      <c r="C97" s="13"/>
    </row>
    <row r="98" hidden="1" outlineLevel="1">
      <c r="A98" s="43"/>
      <c r="B98" s="13"/>
      <c r="C98" s="13"/>
    </row>
    <row r="99" hidden="1" outlineLevel="1">
      <c r="A99" s="43"/>
      <c r="B99" s="13"/>
      <c r="C99" s="13"/>
    </row>
    <row r="100" hidden="1" outlineLevel="1">
      <c r="A100" s="43"/>
      <c r="B100" s="13"/>
      <c r="C100" s="13"/>
    </row>
    <row r="101" hidden="1" outlineLevel="1">
      <c r="A101" s="43"/>
      <c r="B101" s="13"/>
      <c r="C101" s="13"/>
    </row>
    <row r="102" hidden="1" outlineLevel="1">
      <c r="A102" s="43"/>
      <c r="B102" s="13"/>
      <c r="C102" s="13"/>
    </row>
    <row r="103" hidden="1" outlineLevel="1">
      <c r="A103" s="43"/>
      <c r="B103" s="13"/>
      <c r="C103" s="13"/>
    </row>
    <row r="104" hidden="1" outlineLevel="1">
      <c r="A104" s="43"/>
      <c r="B104" s="13"/>
      <c r="C104" s="13"/>
    </row>
    <row r="105" hidden="1" outlineLevel="1">
      <c r="A105" s="43"/>
      <c r="B105" s="13"/>
      <c r="C105" s="13"/>
    </row>
    <row r="106" hidden="1" outlineLevel="1">
      <c r="A106" s="43"/>
      <c r="B106" s="13"/>
      <c r="C106" s="13"/>
    </row>
    <row r="107" hidden="1" outlineLevel="1">
      <c r="A107" s="43"/>
      <c r="B107" s="13"/>
      <c r="C107" s="13"/>
    </row>
    <row r="108" hidden="1" outlineLevel="1">
      <c r="A108" s="43"/>
      <c r="B108" s="13"/>
      <c r="C108" s="13"/>
    </row>
    <row r="109" hidden="1" outlineLevel="1">
      <c r="A109" s="43"/>
      <c r="B109" s="13"/>
      <c r="C109" s="13"/>
    </row>
    <row r="110" hidden="1" outlineLevel="1">
      <c r="A110" s="43"/>
      <c r="B110" s="13"/>
      <c r="C110" s="13"/>
    </row>
    <row r="111" hidden="1" outlineLevel="1">
      <c r="A111" s="43"/>
      <c r="B111" s="13"/>
      <c r="C111" s="13"/>
    </row>
    <row r="112" hidden="1" outlineLevel="1">
      <c r="A112" s="43"/>
      <c r="B112" s="13"/>
      <c r="C112" s="13"/>
    </row>
    <row r="113" hidden="1" outlineLevel="1">
      <c r="A113" s="43"/>
      <c r="B113" s="13"/>
      <c r="C113" s="13"/>
    </row>
    <row r="114" hidden="1" outlineLevel="1">
      <c r="A114" s="43"/>
      <c r="B114" s="13"/>
      <c r="C114" s="13"/>
    </row>
    <row r="115" hidden="1" outlineLevel="1">
      <c r="A115" s="43"/>
      <c r="B115" s="13"/>
      <c r="C115" s="13"/>
    </row>
    <row r="116" hidden="1" outlineLevel="1">
      <c r="A116" s="43"/>
      <c r="B116" s="13"/>
      <c r="C116" s="13"/>
    </row>
    <row r="117" hidden="1" outlineLevel="1">
      <c r="A117" s="43"/>
      <c r="B117" s="13"/>
      <c r="C117" s="13"/>
    </row>
    <row r="118" hidden="1" outlineLevel="1">
      <c r="A118" s="43"/>
      <c r="B118" s="13"/>
      <c r="C118" s="13"/>
    </row>
    <row r="119" hidden="1" outlineLevel="1">
      <c r="A119" s="43"/>
      <c r="B119" s="13"/>
      <c r="C119" s="13"/>
    </row>
    <row r="120" hidden="1" outlineLevel="1">
      <c r="A120" s="43"/>
      <c r="B120" s="13"/>
      <c r="C120" s="13"/>
    </row>
    <row r="121" hidden="1" outlineLevel="1">
      <c r="A121" s="43"/>
      <c r="B121" s="13"/>
      <c r="C121" s="13"/>
    </row>
    <row r="122" hidden="1" outlineLevel="1">
      <c r="A122" s="43"/>
      <c r="B122" s="13"/>
      <c r="C122" s="13"/>
    </row>
    <row r="123" hidden="1" outlineLevel="1">
      <c r="A123" s="43"/>
      <c r="B123" s="13"/>
      <c r="C123" s="13"/>
    </row>
    <row r="124" hidden="1" outlineLevel="1">
      <c r="A124" s="43"/>
      <c r="B124" s="13"/>
      <c r="C124" s="13"/>
    </row>
    <row r="125" hidden="1" outlineLevel="1">
      <c r="A125" s="43"/>
      <c r="B125" s="13"/>
      <c r="C125" s="13"/>
    </row>
    <row r="126" hidden="1" outlineLevel="1">
      <c r="A126" s="43"/>
      <c r="B126" s="13"/>
      <c r="C126" s="13"/>
    </row>
    <row r="127" hidden="1" outlineLevel="1">
      <c r="A127" s="43"/>
      <c r="B127" s="13"/>
      <c r="C127" s="13"/>
    </row>
    <row r="128" hidden="1" outlineLevel="1">
      <c r="A128" s="43"/>
      <c r="B128" s="13"/>
      <c r="C128" s="13"/>
    </row>
    <row r="129" hidden="1" outlineLevel="1">
      <c r="A129" s="43"/>
      <c r="B129" s="13"/>
      <c r="C129" s="13"/>
    </row>
    <row r="130" hidden="1" outlineLevel="1">
      <c r="A130" s="43"/>
      <c r="B130" s="13"/>
      <c r="C130" s="13"/>
    </row>
    <row r="131" hidden="1" outlineLevel="1">
      <c r="A131" s="43"/>
      <c r="B131" s="13"/>
      <c r="C131" s="13"/>
    </row>
    <row r="132" hidden="1" outlineLevel="1">
      <c r="A132" s="43"/>
      <c r="B132" s="13"/>
      <c r="C132" s="13"/>
    </row>
    <row r="133" hidden="1" outlineLevel="1">
      <c r="A133" s="43"/>
      <c r="B133" s="13"/>
      <c r="C133" s="13"/>
    </row>
    <row r="134" hidden="1" outlineLevel="1">
      <c r="A134" s="43"/>
      <c r="B134" s="13"/>
      <c r="C134" s="13"/>
    </row>
    <row r="135" hidden="1" outlineLevel="1">
      <c r="A135" s="43"/>
      <c r="B135" s="13"/>
      <c r="C135" s="13"/>
    </row>
    <row r="136" hidden="1" outlineLevel="1">
      <c r="A136" s="43"/>
      <c r="B136" s="13"/>
      <c r="C136" s="13"/>
    </row>
    <row r="137" hidden="1" outlineLevel="1">
      <c r="A137" s="43"/>
      <c r="B137" s="13"/>
      <c r="C137" s="13"/>
    </row>
    <row r="138" hidden="1" outlineLevel="1">
      <c r="A138" s="43"/>
      <c r="B138" s="13"/>
      <c r="C138" s="13"/>
    </row>
    <row r="139" hidden="1" outlineLevel="1">
      <c r="A139" s="43"/>
      <c r="B139" s="13"/>
      <c r="C139" s="13"/>
    </row>
    <row r="140" hidden="1" outlineLevel="1">
      <c r="A140" s="43"/>
      <c r="B140" s="13"/>
      <c r="C140" s="13"/>
    </row>
    <row r="141" hidden="1" outlineLevel="1">
      <c r="A141" s="43"/>
      <c r="B141" s="13"/>
      <c r="C141" s="13"/>
    </row>
    <row r="142" hidden="1" outlineLevel="1">
      <c r="A142" s="43"/>
      <c r="B142" s="13"/>
      <c r="C142" s="13"/>
    </row>
    <row r="143" hidden="1" outlineLevel="1">
      <c r="A143" s="43"/>
      <c r="B143" s="13"/>
      <c r="C143" s="13"/>
    </row>
    <row r="144" hidden="1" outlineLevel="1">
      <c r="A144" s="43"/>
      <c r="B144" s="13"/>
      <c r="C144" s="13"/>
    </row>
    <row r="145" hidden="1" outlineLevel="1">
      <c r="A145" s="43"/>
      <c r="B145" s="13"/>
      <c r="C145" s="13"/>
    </row>
    <row r="146" hidden="1" outlineLevel="1">
      <c r="A146" s="43"/>
      <c r="B146" s="13"/>
      <c r="C146" s="13"/>
    </row>
    <row r="147" hidden="1" outlineLevel="1">
      <c r="A147" s="43"/>
      <c r="B147" s="13"/>
      <c r="C147" s="13"/>
    </row>
    <row r="148" hidden="1" outlineLevel="1">
      <c r="A148" s="43"/>
      <c r="B148" s="13"/>
      <c r="C148" s="13"/>
    </row>
    <row r="149" hidden="1" outlineLevel="1">
      <c r="A149" s="43"/>
      <c r="B149" s="13"/>
      <c r="C149" s="13"/>
    </row>
    <row r="150" hidden="1" outlineLevel="1">
      <c r="A150" s="43"/>
      <c r="B150" s="13"/>
      <c r="C150" s="13"/>
    </row>
    <row r="151" hidden="1" outlineLevel="1">
      <c r="A151" s="43"/>
      <c r="B151" s="13"/>
      <c r="C151" s="13"/>
    </row>
    <row r="152" hidden="1" outlineLevel="1">
      <c r="A152" s="43"/>
      <c r="B152" s="13"/>
      <c r="C152" s="13"/>
    </row>
    <row r="153" hidden="1" outlineLevel="1">
      <c r="A153" s="43"/>
      <c r="B153" s="13"/>
      <c r="C153" s="13"/>
    </row>
    <row r="154" hidden="1" outlineLevel="1">
      <c r="A154" s="43"/>
      <c r="B154" s="13"/>
      <c r="C154" s="13"/>
    </row>
    <row r="155" hidden="1" outlineLevel="1">
      <c r="A155" s="43"/>
      <c r="B155" s="13"/>
      <c r="C155" s="13"/>
    </row>
    <row r="156" hidden="1" outlineLevel="1">
      <c r="A156" s="43"/>
      <c r="B156" s="13"/>
      <c r="C156" s="13"/>
    </row>
    <row r="157" hidden="1" outlineLevel="1">
      <c r="A157" s="43"/>
      <c r="B157" s="13"/>
      <c r="C157" s="13"/>
    </row>
    <row r="158" hidden="1" outlineLevel="1">
      <c r="A158" s="43"/>
      <c r="B158" s="13"/>
      <c r="C158" s="13"/>
    </row>
    <row r="159" hidden="1" outlineLevel="1">
      <c r="A159" s="43"/>
      <c r="B159" s="13"/>
      <c r="C159" s="13"/>
    </row>
    <row r="160" hidden="1" outlineLevel="1">
      <c r="A160" s="43"/>
      <c r="B160" s="13"/>
      <c r="C160" s="13"/>
    </row>
    <row r="161" hidden="1" outlineLevel="1">
      <c r="A161" s="43"/>
      <c r="B161" s="13"/>
      <c r="C161" s="13"/>
    </row>
    <row r="162" hidden="1" outlineLevel="1">
      <c r="A162" s="43"/>
      <c r="B162" s="13"/>
      <c r="C162" s="13"/>
    </row>
    <row r="163" hidden="1" outlineLevel="1">
      <c r="A163" s="43"/>
      <c r="B163" s="13"/>
      <c r="C163" s="13"/>
    </row>
    <row r="164" hidden="1" outlineLevel="1">
      <c r="A164" s="43"/>
      <c r="B164" s="13"/>
      <c r="C164" s="13"/>
    </row>
    <row r="165" hidden="1" outlineLevel="1">
      <c r="A165" s="43"/>
      <c r="B165" s="13"/>
      <c r="C165" s="13"/>
    </row>
    <row r="166" hidden="1" outlineLevel="1">
      <c r="A166" s="43"/>
      <c r="B166" s="13"/>
      <c r="C166" s="13"/>
    </row>
    <row r="167" hidden="1" outlineLevel="1">
      <c r="A167" s="43"/>
      <c r="B167" s="13"/>
      <c r="C167" s="13"/>
    </row>
    <row r="168" hidden="1" outlineLevel="1">
      <c r="A168" s="43"/>
      <c r="B168" s="13"/>
      <c r="C168" s="13"/>
    </row>
    <row r="169" hidden="1" outlineLevel="1">
      <c r="A169" s="43"/>
      <c r="B169" s="13"/>
      <c r="C169" s="13"/>
    </row>
    <row r="170" hidden="1" outlineLevel="1">
      <c r="A170" s="43"/>
      <c r="B170" s="13"/>
      <c r="C170" s="13"/>
    </row>
    <row r="171" hidden="1" outlineLevel="1">
      <c r="A171" s="43"/>
      <c r="B171" s="13"/>
      <c r="C171" s="13"/>
    </row>
    <row r="172" hidden="1" outlineLevel="1">
      <c r="A172" s="43"/>
      <c r="B172" s="13"/>
      <c r="C172" s="13"/>
    </row>
    <row r="173" hidden="1" outlineLevel="1">
      <c r="A173" s="43"/>
      <c r="B173" s="13"/>
      <c r="C173" s="13"/>
    </row>
    <row r="174" hidden="1" outlineLevel="1">
      <c r="A174" s="43"/>
      <c r="B174" s="13"/>
      <c r="C174" s="13"/>
    </row>
    <row r="175" hidden="1" outlineLevel="1">
      <c r="A175" s="43"/>
      <c r="B175" s="13"/>
      <c r="C175" s="13"/>
    </row>
    <row r="176" hidden="1" outlineLevel="1">
      <c r="A176" s="43"/>
      <c r="B176" s="13"/>
      <c r="C176" s="13"/>
    </row>
    <row r="177" hidden="1" outlineLevel="1">
      <c r="A177" s="43"/>
      <c r="B177" s="13"/>
      <c r="C177" s="13"/>
    </row>
    <row r="178" hidden="1" outlineLevel="1">
      <c r="A178" s="43"/>
      <c r="B178" s="13"/>
      <c r="C178" s="13"/>
    </row>
    <row r="179" hidden="1" outlineLevel="1">
      <c r="A179" s="43"/>
      <c r="B179" s="13"/>
      <c r="C179" s="13"/>
    </row>
    <row r="180" hidden="1" outlineLevel="1">
      <c r="A180" s="43"/>
      <c r="B180" s="13"/>
      <c r="C180" s="13"/>
    </row>
    <row r="181" hidden="1" outlineLevel="1">
      <c r="A181" s="43"/>
      <c r="B181" s="13"/>
      <c r="C181" s="13"/>
    </row>
    <row r="182" hidden="1" outlineLevel="1">
      <c r="A182" s="43"/>
      <c r="B182" s="13"/>
      <c r="C182" s="13"/>
    </row>
    <row r="183" hidden="1" outlineLevel="1">
      <c r="A183" s="43"/>
      <c r="B183" s="13"/>
      <c r="C183" s="13"/>
    </row>
    <row r="184" hidden="1" outlineLevel="1">
      <c r="A184" s="43"/>
      <c r="B184" s="13"/>
      <c r="C184" s="13"/>
    </row>
    <row r="185" hidden="1" outlineLevel="1">
      <c r="A185" s="43"/>
      <c r="B185" s="13"/>
      <c r="C185" s="13"/>
    </row>
    <row r="186" hidden="1" outlineLevel="1">
      <c r="A186" s="43"/>
      <c r="B186" s="13"/>
      <c r="C186" s="13"/>
    </row>
    <row r="187" hidden="1" outlineLevel="1">
      <c r="A187" s="43"/>
      <c r="B187" s="13"/>
      <c r="C187" s="13"/>
    </row>
    <row r="188" hidden="1" outlineLevel="1">
      <c r="A188" s="43"/>
      <c r="B188" s="13"/>
      <c r="C188" s="13"/>
    </row>
    <row r="189" hidden="1" outlineLevel="1">
      <c r="A189" s="43"/>
      <c r="B189" s="13"/>
      <c r="C189" s="13"/>
    </row>
    <row r="190" hidden="1" outlineLevel="1">
      <c r="A190" s="43"/>
      <c r="B190" s="13"/>
      <c r="C190" s="13"/>
    </row>
    <row r="191" hidden="1" outlineLevel="1">
      <c r="A191" s="43"/>
      <c r="B191" s="13"/>
      <c r="C191" s="13"/>
    </row>
    <row r="192" hidden="1" outlineLevel="1">
      <c r="A192" s="43"/>
      <c r="B192" s="13"/>
      <c r="C192" s="13"/>
    </row>
    <row r="193" hidden="1" outlineLevel="1">
      <c r="A193" s="43"/>
      <c r="B193" s="13"/>
      <c r="C193" s="13"/>
    </row>
    <row r="194" hidden="1" outlineLevel="1">
      <c r="A194" s="43"/>
      <c r="B194" s="13"/>
      <c r="C194" s="13"/>
    </row>
    <row r="195" hidden="1" outlineLevel="1">
      <c r="A195" s="43"/>
      <c r="B195" s="13"/>
      <c r="C195" s="13"/>
    </row>
    <row r="196" hidden="1" outlineLevel="1">
      <c r="A196" s="43"/>
      <c r="B196" s="13"/>
      <c r="C196" s="13"/>
    </row>
    <row r="197" hidden="1" outlineLevel="1">
      <c r="A197" s="43"/>
      <c r="B197" s="13"/>
      <c r="C197" s="13"/>
    </row>
    <row r="198" hidden="1" outlineLevel="1">
      <c r="A198" s="43"/>
      <c r="B198" s="13"/>
      <c r="C198" s="13"/>
    </row>
    <row r="199" hidden="1" outlineLevel="1">
      <c r="A199" s="43"/>
      <c r="B199" s="13"/>
      <c r="C199" s="13"/>
    </row>
    <row r="200" hidden="1" outlineLevel="1">
      <c r="A200" s="43"/>
      <c r="B200" s="13"/>
      <c r="C200" s="13"/>
    </row>
    <row r="201" hidden="1" outlineLevel="1">
      <c r="A201" s="43"/>
      <c r="B201" s="13"/>
      <c r="C201" s="13"/>
    </row>
    <row r="202" hidden="1" outlineLevel="1">
      <c r="A202" s="43"/>
      <c r="B202" s="13"/>
      <c r="C202" s="13"/>
    </row>
    <row r="203" hidden="1" outlineLevel="1">
      <c r="A203" s="43"/>
      <c r="B203" s="13"/>
      <c r="C203" s="13"/>
    </row>
    <row r="204" hidden="1" outlineLevel="1">
      <c r="A204" s="43"/>
      <c r="B204" s="13"/>
      <c r="C204" s="13"/>
    </row>
    <row r="205" hidden="1" outlineLevel="1">
      <c r="A205" s="43"/>
      <c r="B205" s="13"/>
      <c r="C205" s="13"/>
    </row>
    <row r="206" hidden="1" outlineLevel="1">
      <c r="A206" s="43"/>
      <c r="B206" s="13"/>
      <c r="C206" s="13"/>
    </row>
    <row r="207" hidden="1" outlineLevel="1">
      <c r="A207" s="43"/>
      <c r="B207" s="13"/>
      <c r="C207" s="13"/>
    </row>
    <row r="208" hidden="1" outlineLevel="1">
      <c r="A208" s="43"/>
      <c r="B208" s="13"/>
      <c r="C208" s="13"/>
    </row>
    <row r="209" hidden="1" outlineLevel="1">
      <c r="A209" s="43"/>
      <c r="B209" s="13"/>
      <c r="C209" s="13"/>
    </row>
    <row r="210" hidden="1" outlineLevel="1">
      <c r="A210" s="43"/>
      <c r="B210" s="13"/>
      <c r="C210" s="13"/>
    </row>
    <row r="211" hidden="1" outlineLevel="1">
      <c r="A211" s="43"/>
      <c r="B211" s="13"/>
      <c r="C211" s="13"/>
    </row>
    <row r="212" hidden="1" outlineLevel="1">
      <c r="A212" s="43"/>
      <c r="B212" s="13"/>
      <c r="C212" s="13"/>
    </row>
    <row r="213" hidden="1" outlineLevel="1">
      <c r="A213" s="43"/>
      <c r="B213" s="13"/>
      <c r="C213" s="13"/>
    </row>
    <row r="214" hidden="1" outlineLevel="1">
      <c r="A214" s="43"/>
      <c r="B214" s="13"/>
      <c r="C214" s="13"/>
    </row>
    <row r="215" hidden="1" outlineLevel="1">
      <c r="A215" s="43"/>
      <c r="B215" s="13"/>
      <c r="C215" s="13"/>
    </row>
    <row r="216" hidden="1" outlineLevel="1">
      <c r="A216" s="43"/>
      <c r="B216" s="13"/>
      <c r="C216" s="13"/>
    </row>
    <row r="217" hidden="1" outlineLevel="1">
      <c r="A217" s="43"/>
      <c r="B217" s="13"/>
      <c r="C217" s="13"/>
    </row>
    <row r="218" hidden="1" outlineLevel="1">
      <c r="A218" s="43"/>
      <c r="B218" s="13"/>
      <c r="C218" s="13"/>
    </row>
    <row r="219" hidden="1" outlineLevel="1">
      <c r="A219" s="43"/>
      <c r="B219" s="13"/>
      <c r="C219" s="13"/>
    </row>
    <row r="220" hidden="1" outlineLevel="1">
      <c r="A220" s="43"/>
      <c r="B220" s="13"/>
      <c r="C220" s="13"/>
    </row>
    <row r="221" hidden="1" outlineLevel="1">
      <c r="A221" s="43"/>
      <c r="B221" s="13"/>
      <c r="C221" s="13"/>
    </row>
    <row r="222" hidden="1" outlineLevel="1">
      <c r="A222" s="43"/>
      <c r="B222" s="13"/>
      <c r="C222" s="13"/>
    </row>
    <row r="223" hidden="1" outlineLevel="1">
      <c r="A223" s="43"/>
      <c r="B223" s="13"/>
      <c r="C223" s="13"/>
    </row>
    <row r="224" hidden="1" outlineLevel="1">
      <c r="A224" s="43"/>
      <c r="B224" s="13"/>
      <c r="C224" s="13"/>
    </row>
    <row r="225" hidden="1" outlineLevel="1">
      <c r="A225" s="43"/>
      <c r="B225" s="13"/>
      <c r="C225" s="13"/>
    </row>
    <row r="226" hidden="1" outlineLevel="1">
      <c r="A226" s="43"/>
      <c r="B226" s="13"/>
      <c r="C226" s="13"/>
    </row>
    <row r="227" hidden="1" outlineLevel="1">
      <c r="A227" s="43"/>
      <c r="B227" s="13"/>
      <c r="C227" s="13"/>
    </row>
    <row r="228" hidden="1" outlineLevel="1">
      <c r="A228" s="43"/>
      <c r="B228" s="13"/>
      <c r="C228" s="13"/>
    </row>
    <row r="229" hidden="1" outlineLevel="1">
      <c r="A229" s="43"/>
      <c r="B229" s="13"/>
      <c r="C229" s="13"/>
    </row>
    <row r="230" hidden="1" outlineLevel="1">
      <c r="A230" s="43"/>
      <c r="B230" s="13"/>
      <c r="C230" s="13"/>
    </row>
    <row r="231" hidden="1" outlineLevel="1">
      <c r="A231" s="43"/>
      <c r="B231" s="13"/>
      <c r="C231" s="13"/>
    </row>
    <row r="232" hidden="1" outlineLevel="1">
      <c r="A232" s="43"/>
      <c r="B232" s="13"/>
      <c r="C232" s="13"/>
    </row>
    <row r="233" hidden="1" outlineLevel="1">
      <c r="A233" s="43"/>
      <c r="B233" s="13"/>
      <c r="C233" s="13"/>
    </row>
    <row r="234" hidden="1" outlineLevel="1">
      <c r="A234" s="43"/>
      <c r="B234" s="13"/>
      <c r="C234" s="13"/>
    </row>
    <row r="235" hidden="1" outlineLevel="1">
      <c r="A235" s="43"/>
      <c r="B235" s="13"/>
      <c r="C235" s="13"/>
    </row>
    <row r="236" hidden="1" outlineLevel="1">
      <c r="A236" s="43"/>
      <c r="B236" s="13"/>
      <c r="C236" s="13"/>
    </row>
    <row r="237" hidden="1" outlineLevel="1">
      <c r="A237" s="43"/>
      <c r="B237" s="13"/>
      <c r="C237" s="13"/>
    </row>
    <row r="238" hidden="1" outlineLevel="1">
      <c r="A238" s="43"/>
      <c r="B238" s="13"/>
      <c r="C238" s="13"/>
    </row>
    <row r="239" hidden="1" outlineLevel="1">
      <c r="A239" s="43"/>
      <c r="B239" s="13"/>
      <c r="C239" s="13"/>
    </row>
    <row r="240" hidden="1" outlineLevel="1">
      <c r="A240" s="43"/>
      <c r="B240" s="13"/>
      <c r="C240" s="13"/>
    </row>
    <row r="241" hidden="1" outlineLevel="1">
      <c r="A241" s="43"/>
      <c r="B241" s="13"/>
      <c r="C241" s="13"/>
    </row>
    <row r="242" hidden="1" outlineLevel="1">
      <c r="A242" s="43"/>
      <c r="B242" s="13"/>
      <c r="C242" s="13"/>
    </row>
    <row r="243" hidden="1" outlineLevel="1">
      <c r="A243" s="43"/>
      <c r="B243" s="13"/>
      <c r="C243" s="13"/>
    </row>
    <row r="244" hidden="1" outlineLevel="1">
      <c r="A244" s="43"/>
      <c r="B244" s="13"/>
      <c r="C244" s="13"/>
    </row>
    <row r="245" hidden="1" outlineLevel="1">
      <c r="A245" s="43"/>
      <c r="B245" s="13"/>
      <c r="C245" s="13"/>
    </row>
    <row r="246" hidden="1" outlineLevel="1">
      <c r="A246" s="43"/>
      <c r="B246" s="13"/>
      <c r="C246" s="13"/>
    </row>
    <row r="247" hidden="1" outlineLevel="1">
      <c r="A247" s="43"/>
      <c r="B247" s="13"/>
      <c r="C247" s="13"/>
    </row>
    <row r="248" hidden="1" outlineLevel="1">
      <c r="A248" s="43"/>
      <c r="B248" s="13"/>
      <c r="C248" s="13"/>
    </row>
    <row r="249" hidden="1" outlineLevel="1">
      <c r="A249" s="43"/>
      <c r="B249" s="13"/>
      <c r="C249" s="13"/>
    </row>
    <row r="250" hidden="1" outlineLevel="1">
      <c r="A250" s="43"/>
      <c r="B250" s="13"/>
      <c r="C250" s="13"/>
    </row>
    <row r="251" hidden="1" outlineLevel="1">
      <c r="A251" s="43"/>
      <c r="B251" s="13"/>
      <c r="C251" s="13"/>
    </row>
    <row r="252" hidden="1" outlineLevel="1">
      <c r="A252" s="43"/>
      <c r="B252" s="13"/>
      <c r="C252" s="13"/>
    </row>
    <row r="253" hidden="1" outlineLevel="1">
      <c r="A253" s="43"/>
      <c r="B253" s="13"/>
      <c r="C253" s="13"/>
    </row>
    <row r="254" hidden="1" outlineLevel="1">
      <c r="A254" s="43"/>
      <c r="B254" s="13"/>
      <c r="C254" s="13"/>
    </row>
    <row r="255" hidden="1" outlineLevel="1">
      <c r="A255" s="43"/>
      <c r="B255" s="13"/>
      <c r="C255" s="13"/>
    </row>
    <row r="256" hidden="1" outlineLevel="1">
      <c r="A256" s="43"/>
      <c r="B256" s="13"/>
      <c r="C256" s="13"/>
    </row>
    <row r="257" hidden="1" outlineLevel="1">
      <c r="A257" s="43"/>
      <c r="B257" s="13"/>
      <c r="C257" s="13"/>
    </row>
    <row r="258" hidden="1" outlineLevel="1">
      <c r="A258" s="43"/>
      <c r="B258" s="13"/>
      <c r="C258" s="13"/>
    </row>
    <row r="259" hidden="1" outlineLevel="1">
      <c r="A259" s="43"/>
      <c r="B259" s="13"/>
      <c r="C259" s="13"/>
    </row>
    <row r="260" hidden="1" outlineLevel="1">
      <c r="A260" s="43"/>
      <c r="B260" s="13"/>
      <c r="C260" s="13"/>
    </row>
    <row r="261" hidden="1" outlineLevel="1">
      <c r="A261" s="43"/>
      <c r="B261" s="13"/>
      <c r="C261" s="13"/>
    </row>
    <row r="262" hidden="1" outlineLevel="1">
      <c r="A262" s="43"/>
      <c r="B262" s="13"/>
      <c r="C262" s="13"/>
    </row>
    <row r="263" hidden="1" outlineLevel="1">
      <c r="A263" s="43"/>
      <c r="B263" s="13"/>
      <c r="C263" s="13"/>
    </row>
    <row r="264" hidden="1" outlineLevel="1">
      <c r="A264" s="43"/>
      <c r="B264" s="13"/>
      <c r="C264" s="13"/>
    </row>
    <row r="265" hidden="1" outlineLevel="1">
      <c r="A265" s="43"/>
      <c r="B265" s="13"/>
      <c r="C265" s="13"/>
    </row>
    <row r="266" hidden="1" outlineLevel="1">
      <c r="A266" s="43"/>
      <c r="B266" s="13"/>
      <c r="C266" s="13"/>
    </row>
    <row r="267" hidden="1" outlineLevel="1">
      <c r="A267" s="43"/>
      <c r="B267" s="13"/>
      <c r="C267" s="13"/>
    </row>
    <row r="268" hidden="1" outlineLevel="1">
      <c r="A268" s="43"/>
      <c r="B268" s="13"/>
      <c r="C268" s="13"/>
    </row>
    <row r="269" hidden="1" outlineLevel="1">
      <c r="A269" s="43"/>
      <c r="B269" s="13"/>
      <c r="C269" s="13"/>
    </row>
    <row r="270" hidden="1" outlineLevel="1">
      <c r="A270" s="43"/>
      <c r="B270" s="13"/>
      <c r="C270" s="13"/>
    </row>
    <row r="271" hidden="1" outlineLevel="1">
      <c r="A271" s="43"/>
      <c r="B271" s="13"/>
      <c r="C271" s="13"/>
    </row>
    <row r="272" hidden="1" outlineLevel="1">
      <c r="A272" s="43"/>
      <c r="B272" s="13"/>
      <c r="C272" s="13"/>
    </row>
    <row r="273" hidden="1" outlineLevel="1">
      <c r="A273" s="43"/>
      <c r="B273" s="13"/>
      <c r="C273" s="13"/>
    </row>
    <row r="274" hidden="1" outlineLevel="1">
      <c r="A274" s="43"/>
      <c r="B274" s="13"/>
      <c r="C274" s="13"/>
    </row>
    <row r="275" hidden="1" outlineLevel="1">
      <c r="A275" s="43"/>
      <c r="B275" s="13"/>
      <c r="C275" s="13"/>
    </row>
    <row r="276" hidden="1" outlineLevel="1">
      <c r="A276" s="43"/>
      <c r="B276" s="13"/>
      <c r="C276" s="13"/>
    </row>
    <row r="277" hidden="1" outlineLevel="1">
      <c r="A277" s="43"/>
      <c r="B277" s="13"/>
      <c r="C277" s="13"/>
    </row>
    <row r="278" hidden="1" outlineLevel="1">
      <c r="A278" s="43"/>
      <c r="B278" s="13"/>
      <c r="C278" s="13"/>
    </row>
    <row r="279" hidden="1" outlineLevel="1">
      <c r="A279" s="43"/>
      <c r="B279" s="13"/>
      <c r="C279" s="13"/>
    </row>
    <row r="280" hidden="1" outlineLevel="1">
      <c r="A280" s="43"/>
      <c r="B280" s="13"/>
      <c r="C280" s="13"/>
    </row>
    <row r="281" hidden="1" outlineLevel="1">
      <c r="A281" s="43"/>
      <c r="B281" s="13"/>
      <c r="C281" s="13"/>
    </row>
    <row r="282" hidden="1" outlineLevel="1">
      <c r="A282" s="43"/>
      <c r="B282" s="13"/>
      <c r="C282" s="13"/>
    </row>
    <row r="283" hidden="1" outlineLevel="1">
      <c r="A283" s="43"/>
      <c r="B283" s="13"/>
      <c r="C283" s="13"/>
    </row>
    <row r="284" hidden="1" outlineLevel="1">
      <c r="A284" s="43"/>
      <c r="B284" s="13"/>
      <c r="C284" s="13"/>
    </row>
    <row r="285" hidden="1" outlineLevel="1">
      <c r="A285" s="43"/>
      <c r="B285" s="13"/>
      <c r="C285" s="13"/>
    </row>
    <row r="286" hidden="1" outlineLevel="1">
      <c r="A286" s="43"/>
      <c r="B286" s="13"/>
      <c r="C286" s="13"/>
    </row>
    <row r="287" hidden="1" outlineLevel="1">
      <c r="A287" s="43"/>
      <c r="B287" s="13"/>
      <c r="C287" s="13"/>
    </row>
    <row r="288" hidden="1" outlineLevel="1">
      <c r="A288" s="43"/>
      <c r="B288" s="13"/>
      <c r="C288" s="13"/>
    </row>
    <row r="289" hidden="1" outlineLevel="1">
      <c r="A289" s="43"/>
      <c r="B289" s="13"/>
      <c r="C289" s="13"/>
    </row>
    <row r="290" hidden="1" outlineLevel="1">
      <c r="A290" s="43"/>
      <c r="B290" s="13"/>
      <c r="C290" s="13"/>
    </row>
    <row r="291" hidden="1" outlineLevel="1">
      <c r="A291" s="43"/>
      <c r="B291" s="13"/>
      <c r="C291" s="13"/>
    </row>
    <row r="292" hidden="1" outlineLevel="1">
      <c r="A292" s="43"/>
      <c r="B292" s="13"/>
      <c r="C292" s="13"/>
    </row>
    <row r="293" hidden="1" outlineLevel="1">
      <c r="A293" s="43"/>
      <c r="B293" s="13"/>
      <c r="C293" s="13"/>
    </row>
    <row r="294" hidden="1" outlineLevel="1">
      <c r="A294" s="43"/>
      <c r="B294" s="13"/>
      <c r="C294" s="13"/>
    </row>
    <row r="295" hidden="1" outlineLevel="1">
      <c r="A295" s="43"/>
      <c r="B295" s="13"/>
      <c r="C295" s="13"/>
    </row>
    <row r="296" hidden="1" outlineLevel="1">
      <c r="A296" s="43"/>
      <c r="B296" s="13"/>
      <c r="C296" s="13"/>
    </row>
    <row r="297" hidden="1" outlineLevel="1">
      <c r="A297" s="43"/>
      <c r="B297" s="13"/>
      <c r="C297" s="13"/>
    </row>
    <row r="298" hidden="1" outlineLevel="1">
      <c r="A298" s="43"/>
      <c r="B298" s="13"/>
      <c r="C298" s="13"/>
    </row>
    <row r="299" hidden="1" outlineLevel="1">
      <c r="A299" s="43"/>
      <c r="B299" s="13"/>
      <c r="C299" s="13"/>
    </row>
    <row r="300" hidden="1" outlineLevel="1">
      <c r="A300" s="43"/>
      <c r="B300" s="13"/>
      <c r="C300" s="13"/>
    </row>
    <row r="301" hidden="1" outlineLevel="1">
      <c r="A301" s="43"/>
      <c r="B301" s="13"/>
      <c r="C301" s="13"/>
    </row>
    <row r="302" hidden="1" outlineLevel="1">
      <c r="A302" s="43"/>
      <c r="B302" s="13"/>
      <c r="C302" s="13"/>
    </row>
    <row r="303" hidden="1" outlineLevel="1">
      <c r="A303" s="43"/>
      <c r="B303" s="13"/>
      <c r="C303" s="13"/>
    </row>
    <row r="304" hidden="1" outlineLevel="1">
      <c r="A304" s="43"/>
      <c r="B304" s="13"/>
      <c r="C304" s="13"/>
    </row>
    <row r="305" hidden="1" outlineLevel="1">
      <c r="A305" s="43"/>
      <c r="B305" s="13"/>
      <c r="C305" s="13"/>
    </row>
    <row r="306" hidden="1" outlineLevel="1">
      <c r="A306" s="43"/>
      <c r="B306" s="13"/>
      <c r="C306" s="13"/>
    </row>
    <row r="307" hidden="1" outlineLevel="1">
      <c r="A307" s="43"/>
      <c r="B307" s="13"/>
      <c r="C307" s="13"/>
    </row>
    <row r="308" hidden="1" outlineLevel="1">
      <c r="A308" s="43"/>
      <c r="B308" s="13"/>
      <c r="C308" s="13"/>
    </row>
    <row r="309" hidden="1" outlineLevel="1">
      <c r="A309" s="43"/>
      <c r="B309" s="13"/>
      <c r="C309" s="13"/>
    </row>
    <row r="310" hidden="1" outlineLevel="1">
      <c r="A310" s="43"/>
      <c r="B310" s="13"/>
      <c r="C310" s="13"/>
    </row>
    <row r="311" hidden="1" outlineLevel="1">
      <c r="A311" s="43"/>
      <c r="B311" s="13"/>
      <c r="C311" s="13"/>
    </row>
    <row r="312" hidden="1" outlineLevel="1">
      <c r="A312" s="43"/>
      <c r="B312" s="13"/>
      <c r="C312" s="13"/>
    </row>
    <row r="313" hidden="1" outlineLevel="1">
      <c r="A313" s="43"/>
      <c r="B313" s="13"/>
      <c r="C313" s="13"/>
    </row>
    <row r="314" hidden="1" outlineLevel="1">
      <c r="A314" s="43"/>
      <c r="B314" s="13"/>
      <c r="C314" s="13"/>
    </row>
    <row r="315" hidden="1" outlineLevel="1">
      <c r="A315" s="43"/>
      <c r="B315" s="13"/>
      <c r="C315" s="13"/>
    </row>
    <row r="316" hidden="1" outlineLevel="1">
      <c r="A316" s="43"/>
      <c r="B316" s="13"/>
      <c r="C316" s="13"/>
    </row>
    <row r="317" hidden="1" outlineLevel="1">
      <c r="A317" s="43"/>
      <c r="B317" s="13"/>
      <c r="C317" s="13"/>
    </row>
    <row r="318" hidden="1" outlineLevel="1">
      <c r="A318" s="43"/>
      <c r="B318" s="13"/>
      <c r="C318" s="13"/>
    </row>
    <row r="319" hidden="1" outlineLevel="1">
      <c r="A319" s="43"/>
      <c r="B319" s="13"/>
      <c r="C319" s="13"/>
    </row>
    <row r="320" hidden="1" outlineLevel="1">
      <c r="A320" s="43"/>
      <c r="B320" s="13"/>
      <c r="C320" s="13"/>
    </row>
    <row r="321" hidden="1" outlineLevel="1">
      <c r="A321" s="43"/>
      <c r="B321" s="13"/>
      <c r="C321" s="13"/>
    </row>
    <row r="322" hidden="1" outlineLevel="1">
      <c r="A322" s="43"/>
      <c r="B322" s="13"/>
      <c r="C322" s="13"/>
    </row>
    <row r="323" hidden="1" outlineLevel="1">
      <c r="A323" s="43"/>
      <c r="B323" s="13"/>
      <c r="C323" s="13"/>
    </row>
    <row r="324" hidden="1" outlineLevel="1">
      <c r="A324" s="43"/>
      <c r="B324" s="13"/>
      <c r="C324" s="13"/>
    </row>
    <row r="325" hidden="1" outlineLevel="1">
      <c r="A325" s="43"/>
      <c r="B325" s="13"/>
      <c r="C325" s="13"/>
    </row>
    <row r="326" hidden="1" outlineLevel="1">
      <c r="A326" s="43"/>
      <c r="B326" s="13"/>
      <c r="C326" s="13"/>
    </row>
    <row r="327" hidden="1" outlineLevel="1">
      <c r="A327" s="43"/>
      <c r="B327" s="13"/>
      <c r="C327" s="13"/>
    </row>
    <row r="328" hidden="1" outlineLevel="1">
      <c r="A328" s="43"/>
      <c r="B328" s="13"/>
      <c r="C328" s="13"/>
    </row>
    <row r="329" hidden="1" outlineLevel="1">
      <c r="A329" s="43"/>
      <c r="B329" s="13"/>
      <c r="C329" s="13"/>
    </row>
    <row r="330" hidden="1" outlineLevel="1">
      <c r="A330" s="43"/>
      <c r="B330" s="13"/>
      <c r="C330" s="13"/>
    </row>
    <row r="331" hidden="1" outlineLevel="1">
      <c r="A331" s="43"/>
      <c r="B331" s="13"/>
      <c r="C331" s="13"/>
    </row>
    <row r="332" hidden="1" outlineLevel="1">
      <c r="A332" s="43"/>
      <c r="B332" s="13"/>
      <c r="C332" s="13"/>
    </row>
    <row r="333" hidden="1" outlineLevel="1">
      <c r="A333" s="43"/>
      <c r="B333" s="13"/>
      <c r="C333" s="13"/>
    </row>
    <row r="334" hidden="1" outlineLevel="1">
      <c r="A334" s="43"/>
      <c r="B334" s="13"/>
      <c r="C334" s="13"/>
    </row>
    <row r="335" hidden="1" outlineLevel="1">
      <c r="A335" s="43"/>
      <c r="B335" s="13"/>
      <c r="C335" s="13"/>
    </row>
    <row r="336" hidden="1" outlineLevel="1">
      <c r="A336" s="43"/>
      <c r="B336" s="13"/>
      <c r="C336" s="13"/>
    </row>
    <row r="337" hidden="1" outlineLevel="1">
      <c r="A337" s="43"/>
      <c r="B337" s="13"/>
      <c r="C337" s="13"/>
    </row>
    <row r="338" hidden="1" outlineLevel="1">
      <c r="A338" s="43"/>
      <c r="B338" s="13"/>
      <c r="C338" s="13"/>
    </row>
    <row r="339" hidden="1" outlineLevel="1">
      <c r="A339" s="43"/>
      <c r="B339" s="13"/>
      <c r="C339" s="13"/>
    </row>
    <row r="340" hidden="1" outlineLevel="1">
      <c r="A340" s="43"/>
      <c r="B340" s="13"/>
      <c r="C340" s="13"/>
    </row>
    <row r="341" hidden="1" outlineLevel="1">
      <c r="A341" s="43"/>
      <c r="B341" s="13"/>
      <c r="C341" s="13"/>
    </row>
    <row r="342" hidden="1" outlineLevel="1">
      <c r="A342" s="43"/>
      <c r="B342" s="13"/>
      <c r="C342" s="13"/>
    </row>
    <row r="343" hidden="1" outlineLevel="1">
      <c r="A343" s="43"/>
      <c r="B343" s="13"/>
      <c r="C343" s="13"/>
    </row>
    <row r="344" hidden="1" outlineLevel="1">
      <c r="A344" s="43"/>
      <c r="B344" s="13"/>
      <c r="C344" s="13"/>
    </row>
    <row r="345" hidden="1" outlineLevel="1">
      <c r="A345" s="43"/>
      <c r="B345" s="13"/>
      <c r="C345" s="13"/>
    </row>
    <row r="346" hidden="1" outlineLevel="1">
      <c r="A346" s="43"/>
      <c r="B346" s="13"/>
      <c r="C346" s="13"/>
    </row>
    <row r="347" hidden="1" outlineLevel="1">
      <c r="A347" s="43"/>
      <c r="B347" s="13"/>
      <c r="C347" s="13"/>
    </row>
    <row r="348" hidden="1" outlineLevel="1">
      <c r="A348" s="43"/>
      <c r="B348" s="13"/>
      <c r="C348" s="13"/>
    </row>
    <row r="349" hidden="1" outlineLevel="1">
      <c r="A349" s="43"/>
      <c r="B349" s="13"/>
      <c r="C349" s="13"/>
    </row>
    <row r="350" hidden="1" outlineLevel="1">
      <c r="A350" s="43"/>
      <c r="B350" s="13"/>
      <c r="C350" s="13"/>
    </row>
    <row r="351" hidden="1" outlineLevel="1">
      <c r="A351" s="43"/>
      <c r="B351" s="13"/>
      <c r="C351" s="13"/>
    </row>
    <row r="352" hidden="1" outlineLevel="1">
      <c r="A352" s="43"/>
      <c r="B352" s="13"/>
      <c r="C352" s="13"/>
    </row>
    <row r="353" hidden="1" outlineLevel="1">
      <c r="A353" s="43"/>
      <c r="B353" s="13"/>
      <c r="C353" s="13"/>
    </row>
    <row r="354" hidden="1" outlineLevel="1">
      <c r="A354" s="43"/>
      <c r="B354" s="13"/>
      <c r="C354" s="13"/>
    </row>
    <row r="355" hidden="1" outlineLevel="1">
      <c r="A355" s="43"/>
      <c r="B355" s="13"/>
      <c r="C355" s="13"/>
    </row>
    <row r="356" hidden="1" outlineLevel="1">
      <c r="A356" s="43"/>
      <c r="B356" s="13"/>
      <c r="C356" s="13"/>
    </row>
    <row r="357" hidden="1" outlineLevel="1">
      <c r="A357" s="43"/>
      <c r="B357" s="13"/>
      <c r="C357" s="13"/>
    </row>
    <row r="358" hidden="1" outlineLevel="1">
      <c r="A358" s="43"/>
      <c r="B358" s="13"/>
      <c r="C358" s="13"/>
    </row>
    <row r="359" hidden="1" outlineLevel="1">
      <c r="A359" s="43"/>
      <c r="B359" s="13"/>
      <c r="C359" s="13"/>
    </row>
    <row r="360" hidden="1" outlineLevel="1">
      <c r="A360" s="43"/>
      <c r="B360" s="13"/>
      <c r="C360" s="13"/>
    </row>
    <row r="361" hidden="1" outlineLevel="1">
      <c r="A361" s="43"/>
      <c r="B361" s="13"/>
      <c r="C361" s="13"/>
    </row>
    <row r="362" hidden="1" outlineLevel="1">
      <c r="A362" s="43"/>
      <c r="B362" s="13"/>
      <c r="C362" s="13"/>
    </row>
    <row r="363" hidden="1" outlineLevel="1">
      <c r="A363" s="43"/>
      <c r="B363" s="13"/>
      <c r="C363" s="13"/>
    </row>
    <row r="364" hidden="1" outlineLevel="1">
      <c r="A364" s="43"/>
      <c r="B364" s="13"/>
      <c r="C364" s="13"/>
    </row>
    <row r="365" hidden="1" outlineLevel="1">
      <c r="A365" s="43"/>
      <c r="B365" s="13"/>
      <c r="C365" s="13"/>
    </row>
    <row r="366" hidden="1" outlineLevel="1">
      <c r="A366" s="43"/>
      <c r="B366" s="13"/>
      <c r="C366" s="13"/>
    </row>
    <row r="367" hidden="1" outlineLevel="1">
      <c r="A367" s="43"/>
      <c r="B367" s="13"/>
      <c r="C367" s="13"/>
    </row>
    <row r="368" hidden="1" outlineLevel="1">
      <c r="A368" s="43"/>
      <c r="B368" s="13"/>
      <c r="C368" s="13"/>
    </row>
    <row r="369" hidden="1" outlineLevel="1">
      <c r="A369" s="43"/>
      <c r="B369" s="13"/>
      <c r="C369" s="13"/>
    </row>
    <row r="370" hidden="1" outlineLevel="1">
      <c r="A370" s="43"/>
      <c r="B370" s="13"/>
      <c r="C370" s="13"/>
    </row>
    <row r="371" hidden="1" outlineLevel="1">
      <c r="A371" s="43"/>
      <c r="B371" s="13"/>
      <c r="C371" s="13"/>
    </row>
    <row r="372" hidden="1" outlineLevel="1">
      <c r="A372" s="43"/>
      <c r="B372" s="13"/>
      <c r="C372" s="13"/>
    </row>
    <row r="373" hidden="1" outlineLevel="1">
      <c r="A373" s="43"/>
      <c r="B373" s="13"/>
      <c r="C373" s="13"/>
    </row>
    <row r="374" hidden="1" outlineLevel="1">
      <c r="A374" s="43"/>
      <c r="B374" s="13"/>
      <c r="C374" s="13"/>
    </row>
    <row r="375" hidden="1" outlineLevel="1">
      <c r="A375" s="43"/>
      <c r="B375" s="13"/>
      <c r="C375" s="13"/>
    </row>
    <row r="376" hidden="1" outlineLevel="1">
      <c r="A376" s="43"/>
      <c r="B376" s="13"/>
      <c r="C376" s="13"/>
    </row>
    <row r="377" hidden="1" outlineLevel="1">
      <c r="A377" s="43"/>
      <c r="B377" s="13"/>
      <c r="C377" s="13"/>
    </row>
    <row r="378" hidden="1" outlineLevel="1">
      <c r="A378" s="43"/>
      <c r="B378" s="13"/>
      <c r="C378" s="13"/>
    </row>
    <row r="379" hidden="1" outlineLevel="1">
      <c r="A379" s="43"/>
      <c r="B379" s="13"/>
      <c r="C379" s="13"/>
    </row>
    <row r="380" hidden="1" outlineLevel="1">
      <c r="A380" s="43"/>
      <c r="B380" s="13"/>
      <c r="C380" s="13"/>
    </row>
    <row r="381" hidden="1" outlineLevel="1">
      <c r="A381" s="43"/>
      <c r="B381" s="13"/>
      <c r="C381" s="13"/>
    </row>
    <row r="382" hidden="1" outlineLevel="1">
      <c r="A382" s="43"/>
      <c r="B382" s="13"/>
      <c r="C382" s="13"/>
    </row>
    <row r="383" hidden="1" outlineLevel="1">
      <c r="A383" s="43"/>
      <c r="B383" s="13"/>
      <c r="C383" s="13"/>
    </row>
    <row r="384" hidden="1" outlineLevel="1">
      <c r="A384" s="43"/>
      <c r="B384" s="13"/>
      <c r="C384" s="13"/>
    </row>
    <row r="385" hidden="1" outlineLevel="1">
      <c r="A385" s="43"/>
      <c r="B385" s="13"/>
      <c r="C385" s="13"/>
    </row>
    <row r="386" hidden="1" outlineLevel="1">
      <c r="A386" s="43"/>
      <c r="B386" s="13"/>
      <c r="C386" s="13"/>
    </row>
    <row r="387" hidden="1" outlineLevel="1">
      <c r="A387" s="43"/>
      <c r="B387" s="13"/>
      <c r="C387" s="13"/>
    </row>
    <row r="388" hidden="1" outlineLevel="1">
      <c r="A388" s="43"/>
      <c r="B388" s="13"/>
      <c r="C388" s="13"/>
    </row>
    <row r="389" hidden="1" outlineLevel="1">
      <c r="A389" s="43"/>
      <c r="B389" s="13"/>
      <c r="C389" s="13"/>
    </row>
    <row r="390" hidden="1" outlineLevel="1">
      <c r="A390" s="43"/>
      <c r="B390" s="13"/>
      <c r="C390" s="13"/>
    </row>
    <row r="391" hidden="1" outlineLevel="1">
      <c r="A391" s="43"/>
      <c r="B391" s="13"/>
      <c r="C391" s="13"/>
    </row>
    <row r="392" hidden="1" outlineLevel="1">
      <c r="A392" s="43"/>
      <c r="B392" s="13"/>
      <c r="C392" s="13"/>
    </row>
    <row r="393" hidden="1" outlineLevel="1">
      <c r="A393" s="43"/>
      <c r="B393" s="13"/>
      <c r="C393" s="13"/>
    </row>
    <row r="394" hidden="1" outlineLevel="1">
      <c r="A394" s="43"/>
      <c r="B394" s="13"/>
      <c r="C394" s="13"/>
    </row>
    <row r="395" hidden="1" outlineLevel="1">
      <c r="A395" s="43"/>
      <c r="B395" s="13"/>
      <c r="C395" s="13"/>
    </row>
    <row r="396" hidden="1" outlineLevel="1">
      <c r="A396" s="43"/>
      <c r="B396" s="13"/>
      <c r="C396" s="13"/>
    </row>
    <row r="397" hidden="1" outlineLevel="1">
      <c r="A397" s="43"/>
      <c r="B397" s="13"/>
      <c r="C397" s="13"/>
    </row>
    <row r="398" hidden="1" outlineLevel="1">
      <c r="A398" s="43"/>
      <c r="B398" s="13"/>
      <c r="C398" s="13"/>
    </row>
    <row r="399" hidden="1" outlineLevel="1">
      <c r="A399" s="43"/>
      <c r="B399" s="13"/>
      <c r="C399" s="13"/>
    </row>
    <row r="400" hidden="1" outlineLevel="1">
      <c r="A400" s="43"/>
      <c r="B400" s="13"/>
      <c r="C400" s="13"/>
    </row>
    <row r="401" hidden="1" outlineLevel="1">
      <c r="A401" s="43"/>
      <c r="B401" s="13"/>
      <c r="C401" s="13"/>
    </row>
    <row r="402" hidden="1" outlineLevel="1">
      <c r="A402" s="43"/>
      <c r="B402" s="13"/>
      <c r="C402" s="13"/>
    </row>
    <row r="403" hidden="1" outlineLevel="1">
      <c r="A403" s="43"/>
      <c r="B403" s="13"/>
      <c r="C403" s="13"/>
    </row>
    <row r="404" hidden="1" outlineLevel="1">
      <c r="A404" s="43"/>
      <c r="B404" s="13"/>
      <c r="C404" s="13"/>
    </row>
    <row r="405" hidden="1" outlineLevel="1">
      <c r="A405" s="43"/>
      <c r="B405" s="13"/>
      <c r="C405" s="13"/>
    </row>
    <row r="406" hidden="1" outlineLevel="1">
      <c r="A406" s="43"/>
      <c r="B406" s="13"/>
      <c r="C406" s="13"/>
    </row>
    <row r="407" hidden="1" outlineLevel="1">
      <c r="A407" s="43"/>
      <c r="B407" s="13"/>
      <c r="C407" s="13"/>
    </row>
    <row r="408" hidden="1" outlineLevel="1">
      <c r="A408" s="43"/>
      <c r="B408" s="13"/>
      <c r="C408" s="13"/>
    </row>
    <row r="409" hidden="1" outlineLevel="1">
      <c r="A409" s="43"/>
      <c r="B409" s="13"/>
      <c r="C409" s="13"/>
    </row>
    <row r="410" hidden="1" outlineLevel="1">
      <c r="A410" s="43"/>
      <c r="B410" s="13"/>
      <c r="C410" s="13"/>
    </row>
    <row r="411" hidden="1" outlineLevel="1">
      <c r="A411" s="43"/>
      <c r="B411" s="13"/>
      <c r="C411" s="13"/>
    </row>
    <row r="412" hidden="1" outlineLevel="1">
      <c r="A412" s="43"/>
      <c r="B412" s="13"/>
      <c r="C412" s="13"/>
    </row>
    <row r="413" hidden="1" outlineLevel="1">
      <c r="A413" s="43"/>
      <c r="B413" s="13"/>
      <c r="C413" s="13"/>
    </row>
    <row r="414" hidden="1" outlineLevel="1">
      <c r="A414" s="43"/>
      <c r="B414" s="13"/>
      <c r="C414" s="13"/>
    </row>
    <row r="415" hidden="1" outlineLevel="1">
      <c r="A415" s="43"/>
      <c r="B415" s="13"/>
      <c r="C415" s="13"/>
    </row>
    <row r="416" hidden="1" outlineLevel="1">
      <c r="A416" s="43"/>
      <c r="B416" s="13"/>
      <c r="C416" s="13"/>
    </row>
    <row r="417" hidden="1" outlineLevel="1">
      <c r="A417" s="43"/>
      <c r="B417" s="13"/>
      <c r="C417" s="13"/>
    </row>
    <row r="418" hidden="1" outlineLevel="1">
      <c r="A418" s="43"/>
      <c r="B418" s="13"/>
      <c r="C418" s="13"/>
    </row>
    <row r="419" hidden="1" outlineLevel="1">
      <c r="A419" s="43"/>
      <c r="B419" s="13"/>
      <c r="C419" s="13"/>
    </row>
    <row r="420" hidden="1" outlineLevel="1">
      <c r="A420" s="43"/>
      <c r="B420" s="13"/>
      <c r="C420" s="13"/>
    </row>
    <row r="421" hidden="1" outlineLevel="1">
      <c r="A421" s="43"/>
      <c r="B421" s="13"/>
      <c r="C421" s="13"/>
    </row>
    <row r="422" hidden="1" outlineLevel="1">
      <c r="A422" s="43"/>
      <c r="B422" s="13"/>
      <c r="C422" s="13"/>
    </row>
    <row r="423" hidden="1" outlineLevel="1">
      <c r="A423" s="43"/>
      <c r="B423" s="13"/>
      <c r="C423" s="13"/>
    </row>
    <row r="424" hidden="1" outlineLevel="1">
      <c r="A424" s="43"/>
      <c r="B424" s="13"/>
      <c r="C424" s="13"/>
    </row>
    <row r="425" hidden="1" outlineLevel="1">
      <c r="A425" s="43"/>
      <c r="B425" s="13"/>
      <c r="C425" s="13"/>
    </row>
    <row r="426" hidden="1" outlineLevel="1">
      <c r="A426" s="43"/>
      <c r="B426" s="13"/>
      <c r="C426" s="13"/>
    </row>
    <row r="427" hidden="1" outlineLevel="1">
      <c r="A427" s="43"/>
      <c r="B427" s="13"/>
      <c r="C427" s="13"/>
    </row>
    <row r="428" hidden="1" outlineLevel="1">
      <c r="A428" s="43"/>
      <c r="B428" s="13"/>
      <c r="C428" s="13"/>
    </row>
    <row r="429" hidden="1" outlineLevel="1">
      <c r="A429" s="43"/>
      <c r="B429" s="13"/>
      <c r="C429" s="13"/>
    </row>
    <row r="430" hidden="1" outlineLevel="1">
      <c r="A430" s="43"/>
      <c r="B430" s="13"/>
      <c r="C430" s="13"/>
    </row>
    <row r="431" hidden="1" outlineLevel="1">
      <c r="A431" s="43"/>
      <c r="B431" s="13"/>
      <c r="C431" s="13"/>
    </row>
    <row r="432" hidden="1" outlineLevel="1">
      <c r="A432" s="43"/>
      <c r="B432" s="13"/>
      <c r="C432" s="13"/>
    </row>
    <row r="433" hidden="1" outlineLevel="1">
      <c r="A433" s="43"/>
      <c r="B433" s="13"/>
      <c r="C433" s="13"/>
    </row>
    <row r="434" hidden="1" outlineLevel="1">
      <c r="A434" s="43"/>
      <c r="B434" s="13"/>
      <c r="C434" s="13"/>
    </row>
    <row r="435" hidden="1" outlineLevel="1">
      <c r="A435" s="43"/>
      <c r="B435" s="13"/>
      <c r="C435" s="13"/>
    </row>
    <row r="436" hidden="1" outlineLevel="1">
      <c r="A436" s="43"/>
      <c r="B436" s="13"/>
      <c r="C436" s="13"/>
    </row>
    <row r="437" hidden="1" outlineLevel="1">
      <c r="A437" s="43"/>
      <c r="B437" s="13"/>
      <c r="C437" s="13"/>
    </row>
    <row r="438" hidden="1" outlineLevel="1">
      <c r="A438" s="43"/>
      <c r="B438" s="13"/>
      <c r="C438" s="13"/>
    </row>
    <row r="439" hidden="1" outlineLevel="1">
      <c r="A439" s="43"/>
      <c r="B439" s="13"/>
      <c r="C439" s="13"/>
    </row>
    <row r="440" hidden="1" outlineLevel="1">
      <c r="A440" s="43"/>
      <c r="B440" s="13"/>
      <c r="C440" s="13"/>
    </row>
    <row r="441" hidden="1" outlineLevel="1">
      <c r="A441" s="43"/>
      <c r="B441" s="13"/>
      <c r="C441" s="13"/>
    </row>
    <row r="442" hidden="1" outlineLevel="1">
      <c r="A442" s="43"/>
      <c r="B442" s="13"/>
      <c r="C442" s="13"/>
    </row>
    <row r="443" hidden="1" outlineLevel="1">
      <c r="A443" s="43"/>
      <c r="B443" s="13"/>
      <c r="C443" s="13"/>
    </row>
    <row r="444" hidden="1" outlineLevel="1">
      <c r="A444" s="43"/>
      <c r="B444" s="13"/>
      <c r="C444" s="13"/>
    </row>
    <row r="445" hidden="1" outlineLevel="1">
      <c r="A445" s="43"/>
      <c r="B445" s="13"/>
      <c r="C445" s="13"/>
    </row>
    <row r="446" hidden="1" outlineLevel="1">
      <c r="A446" s="43"/>
      <c r="B446" s="13"/>
      <c r="C446" s="13"/>
    </row>
    <row r="447" hidden="1" outlineLevel="1">
      <c r="A447" s="43"/>
      <c r="B447" s="13"/>
      <c r="C447" s="13"/>
    </row>
    <row r="448" hidden="1" outlineLevel="1">
      <c r="A448" s="43"/>
      <c r="B448" s="13"/>
      <c r="C448" s="13"/>
    </row>
    <row r="449" hidden="1" outlineLevel="1">
      <c r="A449" s="43"/>
      <c r="B449" s="13"/>
      <c r="C449" s="13"/>
    </row>
    <row r="450" hidden="1" outlineLevel="1">
      <c r="A450" s="43"/>
      <c r="B450" s="13"/>
      <c r="C450" s="13"/>
    </row>
    <row r="451" hidden="1" outlineLevel="1">
      <c r="A451" s="43"/>
      <c r="B451" s="13"/>
      <c r="C451" s="13"/>
    </row>
    <row r="452" hidden="1" outlineLevel="1">
      <c r="A452" s="43"/>
      <c r="B452" s="13"/>
      <c r="C452" s="13"/>
    </row>
    <row r="453" hidden="1" outlineLevel="1">
      <c r="A453" s="43"/>
      <c r="B453" s="13"/>
      <c r="C453" s="13"/>
    </row>
    <row r="454" hidden="1" outlineLevel="1">
      <c r="A454" s="43"/>
      <c r="B454" s="13"/>
      <c r="C454" s="13"/>
    </row>
    <row r="455" hidden="1" outlineLevel="1">
      <c r="A455" s="43"/>
      <c r="B455" s="13"/>
      <c r="C455" s="13"/>
    </row>
    <row r="456" hidden="1" outlineLevel="1">
      <c r="A456" s="43"/>
      <c r="B456" s="13"/>
      <c r="C456" s="13"/>
    </row>
    <row r="457" hidden="1" outlineLevel="1">
      <c r="A457" s="43"/>
      <c r="B457" s="13"/>
      <c r="C457" s="13"/>
    </row>
    <row r="458" hidden="1" outlineLevel="1">
      <c r="A458" s="43"/>
      <c r="B458" s="13"/>
      <c r="C458" s="13"/>
    </row>
    <row r="459" hidden="1" outlineLevel="1">
      <c r="A459" s="43"/>
      <c r="B459" s="13"/>
      <c r="C459" s="13"/>
    </row>
    <row r="460" hidden="1" outlineLevel="1">
      <c r="A460" s="43"/>
      <c r="B460" s="13"/>
      <c r="C460" s="13"/>
    </row>
    <row r="461" hidden="1" outlineLevel="1">
      <c r="A461" s="43"/>
      <c r="B461" s="13"/>
      <c r="C461" s="13"/>
    </row>
    <row r="462" hidden="1" outlineLevel="1">
      <c r="A462" s="43"/>
      <c r="B462" s="13"/>
      <c r="C462" s="13"/>
    </row>
    <row r="463" hidden="1" outlineLevel="1">
      <c r="A463" s="43"/>
      <c r="B463" s="13"/>
      <c r="C463" s="13"/>
    </row>
    <row r="464" hidden="1" outlineLevel="1">
      <c r="A464" s="43"/>
      <c r="B464" s="13"/>
      <c r="C464" s="13"/>
    </row>
    <row r="465" hidden="1" outlineLevel="1">
      <c r="A465" s="43"/>
      <c r="B465" s="13"/>
      <c r="C465" s="13"/>
    </row>
    <row r="466" hidden="1" outlineLevel="1">
      <c r="A466" s="43"/>
      <c r="B466" s="13"/>
      <c r="C466" s="13"/>
    </row>
    <row r="467" hidden="1" outlineLevel="1">
      <c r="A467" s="43"/>
      <c r="B467" s="13"/>
      <c r="C467" s="13"/>
    </row>
    <row r="468" hidden="1" outlineLevel="1">
      <c r="A468" s="43"/>
      <c r="B468" s="13"/>
      <c r="C468" s="13"/>
    </row>
    <row r="469" hidden="1" outlineLevel="1">
      <c r="A469" s="43"/>
      <c r="B469" s="13"/>
      <c r="C469" s="13"/>
    </row>
    <row r="470" hidden="1" outlineLevel="1">
      <c r="A470" s="43"/>
      <c r="B470" s="13"/>
      <c r="C470" s="13"/>
    </row>
    <row r="471" hidden="1" outlineLevel="1">
      <c r="A471" s="43"/>
      <c r="B471" s="13"/>
      <c r="C471" s="13"/>
    </row>
    <row r="472" hidden="1" outlineLevel="1">
      <c r="A472" s="43"/>
      <c r="B472" s="13"/>
      <c r="C472" s="13"/>
    </row>
    <row r="473" hidden="1" outlineLevel="1">
      <c r="A473" s="43"/>
      <c r="B473" s="13"/>
      <c r="C473" s="13"/>
    </row>
    <row r="474" hidden="1" outlineLevel="1">
      <c r="A474" s="43"/>
      <c r="B474" s="13"/>
      <c r="C474" s="13"/>
    </row>
    <row r="475" hidden="1" outlineLevel="1">
      <c r="A475" s="43"/>
      <c r="B475" s="13"/>
      <c r="C475" s="13"/>
    </row>
    <row r="476" hidden="1" outlineLevel="1">
      <c r="A476" s="43"/>
      <c r="B476" s="13"/>
      <c r="C476" s="13"/>
    </row>
    <row r="477" hidden="1" outlineLevel="1">
      <c r="A477" s="43"/>
      <c r="B477" s="13"/>
      <c r="C477" s="13"/>
    </row>
    <row r="478" hidden="1" outlineLevel="1">
      <c r="A478" s="43"/>
      <c r="B478" s="13"/>
      <c r="C478" s="13"/>
    </row>
    <row r="479" hidden="1" outlineLevel="1">
      <c r="A479" s="43"/>
      <c r="B479" s="13"/>
      <c r="C479" s="13"/>
    </row>
    <row r="480" hidden="1" outlineLevel="1">
      <c r="A480" s="43"/>
      <c r="B480" s="13"/>
      <c r="C480" s="13"/>
    </row>
    <row r="481" hidden="1" outlineLevel="1">
      <c r="A481" s="43"/>
      <c r="B481" s="13"/>
      <c r="C481" s="13"/>
    </row>
    <row r="482" hidden="1" outlineLevel="1">
      <c r="A482" s="43"/>
      <c r="B482" s="13"/>
      <c r="C482" s="13"/>
    </row>
    <row r="483" hidden="1" outlineLevel="1">
      <c r="A483" s="43"/>
      <c r="B483" s="13"/>
      <c r="C483" s="13"/>
    </row>
    <row r="484" hidden="1" outlineLevel="1">
      <c r="A484" s="43"/>
      <c r="B484" s="13"/>
      <c r="C484" s="13"/>
    </row>
    <row r="485" hidden="1" outlineLevel="1">
      <c r="A485" s="43"/>
      <c r="B485" s="13"/>
      <c r="C485" s="13"/>
    </row>
    <row r="486" hidden="1" outlineLevel="1">
      <c r="A486" s="43"/>
      <c r="B486" s="13"/>
      <c r="C486" s="13"/>
    </row>
    <row r="487" hidden="1" outlineLevel="1">
      <c r="A487" s="43"/>
      <c r="B487" s="13"/>
      <c r="C487" s="13"/>
    </row>
    <row r="488" hidden="1" outlineLevel="1">
      <c r="A488" s="43"/>
      <c r="B488" s="13"/>
      <c r="C488" s="13"/>
    </row>
    <row r="489" hidden="1" outlineLevel="1">
      <c r="A489" s="43"/>
      <c r="B489" s="13"/>
      <c r="C489" s="13"/>
    </row>
    <row r="490" hidden="1" outlineLevel="1">
      <c r="A490" s="43"/>
      <c r="B490" s="13"/>
      <c r="C490" s="13"/>
    </row>
    <row r="491" hidden="1" outlineLevel="1">
      <c r="A491" s="43"/>
      <c r="B491" s="13"/>
      <c r="C491" s="13"/>
    </row>
    <row r="492" hidden="1" outlineLevel="1">
      <c r="A492" s="43"/>
      <c r="B492" s="13"/>
      <c r="C492" s="13"/>
    </row>
    <row r="493" hidden="1" outlineLevel="1">
      <c r="A493" s="43"/>
      <c r="B493" s="13"/>
      <c r="C493" s="13"/>
    </row>
    <row r="494" hidden="1" outlineLevel="1">
      <c r="A494" s="43"/>
      <c r="B494" s="13"/>
      <c r="C494" s="13"/>
    </row>
    <row r="495" hidden="1" outlineLevel="1">
      <c r="A495" s="43"/>
      <c r="B495" s="13"/>
      <c r="C495" s="13"/>
    </row>
    <row r="496" hidden="1" outlineLevel="1">
      <c r="A496" s="43"/>
      <c r="B496" s="13"/>
      <c r="C496" s="13"/>
    </row>
    <row r="497" hidden="1" outlineLevel="1">
      <c r="A497" s="43"/>
      <c r="B497" s="13"/>
      <c r="C497" s="13"/>
    </row>
    <row r="498" hidden="1" outlineLevel="1">
      <c r="A498" s="43"/>
      <c r="B498" s="13"/>
      <c r="C498" s="13"/>
    </row>
    <row r="499" hidden="1" outlineLevel="1">
      <c r="A499" s="43"/>
      <c r="B499" s="13"/>
      <c r="C499" s="13"/>
    </row>
    <row r="500" hidden="1" outlineLevel="1">
      <c r="A500" s="43"/>
      <c r="B500" s="13"/>
      <c r="C500" s="13"/>
    </row>
    <row r="501" hidden="1" outlineLevel="1">
      <c r="A501" s="43"/>
      <c r="B501" s="13"/>
      <c r="C501" s="13"/>
    </row>
    <row r="502" hidden="1" outlineLevel="1">
      <c r="A502" s="43"/>
      <c r="B502" s="13"/>
      <c r="C502" s="13"/>
    </row>
    <row r="503" hidden="1" outlineLevel="1">
      <c r="A503" s="43"/>
      <c r="B503" s="13"/>
      <c r="C503" s="13"/>
    </row>
    <row r="504" hidden="1" outlineLevel="1">
      <c r="A504" s="43"/>
      <c r="B504" s="13"/>
      <c r="C504" s="13"/>
    </row>
    <row r="505" hidden="1" outlineLevel="1">
      <c r="A505" s="43"/>
      <c r="B505" s="13"/>
      <c r="C505" s="13"/>
    </row>
    <row r="506" hidden="1" outlineLevel="1">
      <c r="A506" s="43"/>
      <c r="B506" s="13"/>
      <c r="C506" s="13"/>
    </row>
    <row r="507" hidden="1" outlineLevel="1">
      <c r="A507" s="43"/>
      <c r="B507" s="13"/>
      <c r="C507" s="13"/>
    </row>
    <row r="508" hidden="1" outlineLevel="1">
      <c r="A508" s="43"/>
      <c r="B508" s="13"/>
      <c r="C508" s="13"/>
    </row>
    <row r="509" hidden="1" outlineLevel="1">
      <c r="A509" s="43"/>
      <c r="B509" s="13"/>
      <c r="C509" s="13"/>
    </row>
    <row r="510" hidden="1" outlineLevel="1">
      <c r="A510" s="43"/>
      <c r="B510" s="13"/>
      <c r="C510" s="13"/>
    </row>
    <row r="511" hidden="1" outlineLevel="1">
      <c r="A511" s="43"/>
      <c r="B511" s="13"/>
      <c r="C511" s="13"/>
    </row>
    <row r="512" hidden="1" outlineLevel="1">
      <c r="A512" s="43"/>
      <c r="B512" s="13"/>
      <c r="C512" s="13"/>
    </row>
    <row r="513" hidden="1" outlineLevel="1">
      <c r="A513" s="43"/>
      <c r="B513" s="13"/>
      <c r="C513" s="13"/>
    </row>
    <row r="514" hidden="1" outlineLevel="1">
      <c r="A514" s="43"/>
      <c r="B514" s="13"/>
      <c r="C514" s="13"/>
    </row>
    <row r="515" hidden="1" outlineLevel="1">
      <c r="A515" s="43"/>
      <c r="B515" s="13"/>
      <c r="C515" s="13"/>
    </row>
    <row r="516" hidden="1" outlineLevel="1">
      <c r="A516" s="43"/>
      <c r="B516" s="13"/>
      <c r="C516" s="13"/>
    </row>
    <row r="517" hidden="1" outlineLevel="1">
      <c r="A517" s="43"/>
      <c r="B517" s="13"/>
      <c r="C517" s="13"/>
    </row>
    <row r="518" hidden="1" outlineLevel="1">
      <c r="A518" s="43"/>
      <c r="B518" s="13"/>
      <c r="C518" s="13"/>
    </row>
    <row r="519" hidden="1" outlineLevel="1">
      <c r="A519" s="43"/>
      <c r="B519" s="13"/>
      <c r="C519" s="13"/>
    </row>
    <row r="520" hidden="1" outlineLevel="1">
      <c r="A520" s="43"/>
      <c r="B520" s="13"/>
      <c r="C520" s="13"/>
    </row>
    <row r="521" hidden="1" outlineLevel="1">
      <c r="A521" s="43"/>
      <c r="B521" s="13"/>
      <c r="C521" s="13"/>
    </row>
    <row r="522" hidden="1" outlineLevel="1">
      <c r="A522" s="43"/>
      <c r="B522" s="13"/>
      <c r="C522" s="13"/>
    </row>
    <row r="523" hidden="1" outlineLevel="1">
      <c r="A523" s="43"/>
      <c r="B523" s="13"/>
      <c r="C523" s="13"/>
    </row>
    <row r="524" hidden="1" outlineLevel="1">
      <c r="A524" s="43"/>
      <c r="B524" s="13"/>
      <c r="C524" s="13"/>
    </row>
    <row r="525" hidden="1" outlineLevel="1">
      <c r="A525" s="43"/>
      <c r="B525" s="13"/>
      <c r="C525" s="13"/>
    </row>
    <row r="526" hidden="1" outlineLevel="1">
      <c r="A526" s="43"/>
      <c r="B526" s="13"/>
      <c r="C526" s="13"/>
    </row>
    <row r="527" hidden="1" outlineLevel="1">
      <c r="A527" s="43"/>
      <c r="B527" s="13"/>
      <c r="C527" s="13"/>
    </row>
    <row r="528" hidden="1" outlineLevel="1">
      <c r="A528" s="43"/>
      <c r="B528" s="13"/>
      <c r="C528" s="13"/>
    </row>
    <row r="529" hidden="1" outlineLevel="1">
      <c r="A529" s="43"/>
      <c r="B529" s="13"/>
      <c r="C529" s="13"/>
    </row>
    <row r="530" hidden="1" outlineLevel="1">
      <c r="A530" s="43"/>
      <c r="B530" s="13"/>
      <c r="C530" s="13"/>
    </row>
    <row r="531" hidden="1" outlineLevel="1">
      <c r="A531" s="43"/>
      <c r="B531" s="13"/>
      <c r="C531" s="13"/>
    </row>
    <row r="532" hidden="1" outlineLevel="1">
      <c r="A532" s="43"/>
      <c r="B532" s="13"/>
      <c r="C532" s="13"/>
    </row>
    <row r="533" hidden="1" outlineLevel="1">
      <c r="A533" s="43"/>
      <c r="B533" s="13"/>
      <c r="C533" s="13"/>
    </row>
    <row r="534" hidden="1" outlineLevel="1">
      <c r="A534" s="43"/>
      <c r="B534" s="13"/>
      <c r="C534" s="13"/>
    </row>
    <row r="535" hidden="1" outlineLevel="1">
      <c r="A535" s="43"/>
      <c r="B535" s="13"/>
      <c r="C535" s="13"/>
    </row>
    <row r="536" hidden="1" outlineLevel="1">
      <c r="A536" s="43"/>
      <c r="B536" s="13"/>
      <c r="C536" s="13"/>
    </row>
    <row r="537" hidden="1" outlineLevel="1">
      <c r="A537" s="43"/>
      <c r="B537" s="13"/>
      <c r="C537" s="13"/>
    </row>
    <row r="538" hidden="1" outlineLevel="1">
      <c r="A538" s="43"/>
      <c r="B538" s="13"/>
      <c r="C538" s="13"/>
    </row>
    <row r="539" hidden="1" outlineLevel="1">
      <c r="A539" s="43"/>
      <c r="B539" s="13"/>
      <c r="C539" s="13"/>
    </row>
    <row r="540" hidden="1" outlineLevel="1">
      <c r="A540" s="43"/>
      <c r="B540" s="13"/>
      <c r="C540" s="13"/>
    </row>
    <row r="541" hidden="1" outlineLevel="1">
      <c r="A541" s="43"/>
      <c r="B541" s="13"/>
      <c r="C541" s="13"/>
    </row>
    <row r="542" hidden="1" outlineLevel="1">
      <c r="A542" s="43"/>
      <c r="B542" s="13"/>
      <c r="C542" s="13"/>
    </row>
    <row r="543" hidden="1" outlineLevel="1">
      <c r="A543" s="43"/>
      <c r="B543" s="13"/>
      <c r="C543" s="13"/>
    </row>
    <row r="544" hidden="1" outlineLevel="1">
      <c r="A544" s="43"/>
      <c r="B544" s="13"/>
      <c r="C544" s="13"/>
    </row>
    <row r="545" hidden="1" outlineLevel="1">
      <c r="A545" s="43"/>
      <c r="B545" s="13"/>
      <c r="C545" s="13"/>
    </row>
    <row r="546" hidden="1" outlineLevel="1">
      <c r="A546" s="43"/>
      <c r="B546" s="13"/>
      <c r="C546" s="13"/>
    </row>
    <row r="547" hidden="1" outlineLevel="1">
      <c r="A547" s="43"/>
      <c r="B547" s="13"/>
      <c r="C547" s="13"/>
    </row>
    <row r="548" hidden="1" outlineLevel="1">
      <c r="A548" s="43"/>
      <c r="B548" s="13"/>
      <c r="C548" s="13"/>
    </row>
    <row r="549" hidden="1" outlineLevel="1">
      <c r="A549" s="43"/>
      <c r="B549" s="13"/>
      <c r="C549" s="13"/>
    </row>
    <row r="550" hidden="1" outlineLevel="1">
      <c r="A550" s="43"/>
      <c r="B550" s="13"/>
      <c r="C550" s="13"/>
    </row>
    <row r="551" hidden="1" outlineLevel="1">
      <c r="A551" s="43"/>
      <c r="B551" s="13"/>
      <c r="C551" s="13"/>
    </row>
    <row r="552" hidden="1" outlineLevel="1">
      <c r="A552" s="43"/>
      <c r="B552" s="13"/>
      <c r="C552" s="13"/>
    </row>
    <row r="553" hidden="1" outlineLevel="1">
      <c r="A553" s="43"/>
      <c r="B553" s="13"/>
      <c r="C553" s="13"/>
    </row>
    <row r="554" hidden="1" outlineLevel="1">
      <c r="A554" s="43"/>
      <c r="B554" s="13"/>
      <c r="C554" s="13"/>
    </row>
    <row r="555" hidden="1" outlineLevel="1">
      <c r="A555" s="43"/>
      <c r="B555" s="13"/>
      <c r="C555" s="13"/>
    </row>
    <row r="556" hidden="1" outlineLevel="1">
      <c r="A556" s="43"/>
      <c r="B556" s="13"/>
      <c r="C556" s="13"/>
    </row>
    <row r="557" hidden="1" outlineLevel="1">
      <c r="A557" s="43"/>
      <c r="B557" s="13"/>
      <c r="C557" s="13"/>
    </row>
    <row r="558" hidden="1" outlineLevel="1">
      <c r="A558" s="43"/>
      <c r="B558" s="13"/>
      <c r="C558" s="13"/>
    </row>
    <row r="559" hidden="1" outlineLevel="1">
      <c r="A559" s="43"/>
      <c r="B559" s="13"/>
      <c r="C559" s="13"/>
    </row>
    <row r="560" hidden="1" outlineLevel="1">
      <c r="A560" s="43"/>
      <c r="B560" s="13"/>
      <c r="C560" s="13"/>
    </row>
    <row r="561" hidden="1" outlineLevel="1">
      <c r="A561" s="43"/>
      <c r="B561" s="13"/>
      <c r="C561" s="13"/>
    </row>
    <row r="562" hidden="1" outlineLevel="1">
      <c r="A562" s="43"/>
      <c r="B562" s="13"/>
      <c r="C562" s="13"/>
    </row>
    <row r="563" hidden="1" outlineLevel="1">
      <c r="A563" s="43"/>
      <c r="B563" s="13"/>
      <c r="C563" s="13"/>
    </row>
    <row r="564" hidden="1" outlineLevel="1">
      <c r="A564" s="43"/>
      <c r="B564" s="13"/>
      <c r="C564" s="13"/>
    </row>
    <row r="565" hidden="1" outlineLevel="1">
      <c r="A565" s="43"/>
      <c r="B565" s="13"/>
      <c r="C565" s="13"/>
    </row>
    <row r="566" hidden="1" outlineLevel="1">
      <c r="A566" s="43"/>
      <c r="B566" s="13"/>
      <c r="C566" s="13"/>
    </row>
    <row r="567" hidden="1" outlineLevel="1">
      <c r="A567" s="43"/>
      <c r="B567" s="13"/>
      <c r="C567" s="13"/>
    </row>
    <row r="568" hidden="1" outlineLevel="1">
      <c r="A568" s="43"/>
      <c r="B568" s="13"/>
      <c r="C568" s="13"/>
    </row>
    <row r="569" hidden="1" outlineLevel="1">
      <c r="A569" s="43"/>
      <c r="B569" s="13"/>
      <c r="C569" s="13"/>
    </row>
    <row r="570" hidden="1" outlineLevel="1">
      <c r="A570" s="43"/>
      <c r="B570" s="13"/>
      <c r="C570" s="13"/>
    </row>
    <row r="571" hidden="1" outlineLevel="1">
      <c r="A571" s="43"/>
      <c r="B571" s="13"/>
      <c r="C571" s="13"/>
    </row>
    <row r="572" hidden="1" outlineLevel="1">
      <c r="A572" s="43"/>
      <c r="B572" s="13"/>
      <c r="C572" s="13"/>
    </row>
    <row r="573" hidden="1" outlineLevel="1">
      <c r="A573" s="43"/>
      <c r="B573" s="13"/>
      <c r="C573" s="13"/>
    </row>
    <row r="574" hidden="1" outlineLevel="1">
      <c r="A574" s="43"/>
      <c r="B574" s="13"/>
      <c r="C574" s="13"/>
    </row>
    <row r="575" hidden="1" outlineLevel="1">
      <c r="A575" s="43"/>
      <c r="B575" s="13"/>
      <c r="C575" s="13"/>
    </row>
    <row r="576" hidden="1" outlineLevel="1">
      <c r="A576" s="43"/>
      <c r="B576" s="13"/>
      <c r="C576" s="13"/>
    </row>
    <row r="577" hidden="1" outlineLevel="1">
      <c r="A577" s="43"/>
      <c r="B577" s="13"/>
      <c r="C577" s="13"/>
    </row>
    <row r="578" hidden="1" outlineLevel="1">
      <c r="A578" s="43"/>
      <c r="B578" s="13"/>
      <c r="C578" s="13"/>
    </row>
    <row r="579" hidden="1" outlineLevel="1">
      <c r="A579" s="43"/>
      <c r="B579" s="13"/>
      <c r="C579" s="13"/>
    </row>
    <row r="580" hidden="1" outlineLevel="1">
      <c r="A580" s="43"/>
      <c r="B580" s="13"/>
      <c r="C580" s="13"/>
    </row>
    <row r="581" hidden="1" outlineLevel="1">
      <c r="A581" s="43"/>
      <c r="B581" s="13"/>
      <c r="C581" s="13"/>
    </row>
    <row r="582" hidden="1" outlineLevel="1">
      <c r="A582" s="43"/>
      <c r="B582" s="13"/>
      <c r="C582" s="13"/>
    </row>
    <row r="583" hidden="1" outlineLevel="1">
      <c r="A583" s="43"/>
      <c r="B583" s="13"/>
      <c r="C583" s="13"/>
    </row>
    <row r="584" hidden="1" outlineLevel="1">
      <c r="A584" s="43"/>
      <c r="B584" s="13"/>
      <c r="C584" s="13"/>
    </row>
    <row r="585" hidden="1" outlineLevel="1">
      <c r="A585" s="43"/>
      <c r="B585" s="13"/>
      <c r="C585" s="13"/>
    </row>
    <row r="586" hidden="1" outlineLevel="1">
      <c r="A586" s="43"/>
      <c r="B586" s="13"/>
      <c r="C586" s="13"/>
    </row>
    <row r="587" hidden="1" outlineLevel="1">
      <c r="A587" s="43"/>
      <c r="B587" s="13"/>
      <c r="C587" s="13"/>
    </row>
    <row r="588" hidden="1" outlineLevel="1">
      <c r="A588" s="43"/>
      <c r="B588" s="13"/>
      <c r="C588" s="13"/>
    </row>
    <row r="589" hidden="1" outlineLevel="1">
      <c r="A589" s="43"/>
      <c r="B589" s="13"/>
      <c r="C589" s="13"/>
    </row>
    <row r="590" hidden="1" outlineLevel="1">
      <c r="A590" s="43"/>
      <c r="B590" s="13"/>
      <c r="C590" s="13"/>
    </row>
    <row r="591" hidden="1" outlineLevel="1">
      <c r="A591" s="43"/>
      <c r="B591" s="13"/>
      <c r="C591" s="13"/>
    </row>
    <row r="592" hidden="1" outlineLevel="1">
      <c r="A592" s="43"/>
      <c r="B592" s="13"/>
      <c r="C592" s="13"/>
    </row>
    <row r="593" hidden="1" outlineLevel="1">
      <c r="A593" s="43"/>
      <c r="B593" s="13"/>
      <c r="C593" s="13"/>
    </row>
    <row r="594" hidden="1" outlineLevel="1">
      <c r="A594" s="43"/>
      <c r="B594" s="13"/>
      <c r="C594" s="13"/>
    </row>
    <row r="595" hidden="1" outlineLevel="1">
      <c r="A595" s="43"/>
      <c r="B595" s="13"/>
      <c r="C595" s="13"/>
    </row>
    <row r="596" hidden="1" outlineLevel="1">
      <c r="A596" s="43"/>
      <c r="B596" s="13"/>
      <c r="C596" s="13"/>
    </row>
    <row r="597" hidden="1" outlineLevel="1">
      <c r="A597" s="43"/>
      <c r="B597" s="13"/>
      <c r="C597" s="13"/>
    </row>
    <row r="598" hidden="1" outlineLevel="1">
      <c r="A598" s="43"/>
      <c r="B598" s="13"/>
      <c r="C598" s="13"/>
    </row>
    <row r="599" hidden="1" outlineLevel="1">
      <c r="A599" s="43"/>
      <c r="B599" s="13"/>
      <c r="C599" s="13"/>
    </row>
    <row r="600" hidden="1" outlineLevel="1">
      <c r="A600" s="43"/>
      <c r="B600" s="13"/>
      <c r="C600" s="13"/>
    </row>
    <row r="601" hidden="1" outlineLevel="1">
      <c r="A601" s="43"/>
      <c r="B601" s="13"/>
      <c r="C601" s="13"/>
    </row>
    <row r="602" hidden="1" outlineLevel="1">
      <c r="A602" s="43"/>
      <c r="B602" s="13"/>
      <c r="C602" s="13"/>
    </row>
    <row r="603" hidden="1" outlineLevel="1">
      <c r="A603" s="43"/>
      <c r="B603" s="13"/>
      <c r="C603" s="13"/>
    </row>
    <row r="604" hidden="1" outlineLevel="1">
      <c r="A604" s="43"/>
      <c r="B604" s="13"/>
      <c r="C604" s="13"/>
    </row>
    <row r="605" hidden="1" outlineLevel="1">
      <c r="A605" s="43"/>
      <c r="B605" s="13"/>
      <c r="C605" s="13"/>
    </row>
    <row r="606" hidden="1" outlineLevel="1">
      <c r="A606" s="43"/>
      <c r="B606" s="13"/>
      <c r="C606" s="13"/>
    </row>
    <row r="607" hidden="1" outlineLevel="1">
      <c r="A607" s="43"/>
      <c r="B607" s="13"/>
      <c r="C607" s="13"/>
    </row>
    <row r="608" hidden="1" outlineLevel="1">
      <c r="A608" s="43"/>
      <c r="B608" s="13"/>
      <c r="C608" s="13"/>
    </row>
    <row r="609" hidden="1" outlineLevel="1">
      <c r="A609" s="43"/>
      <c r="B609" s="13"/>
      <c r="C609" s="13"/>
    </row>
    <row r="610" hidden="1" outlineLevel="1">
      <c r="A610" s="43"/>
      <c r="B610" s="13"/>
      <c r="C610" s="13"/>
    </row>
    <row r="611" hidden="1" outlineLevel="1">
      <c r="A611" s="43"/>
      <c r="B611" s="13"/>
      <c r="C611" s="13"/>
    </row>
    <row r="612" hidden="1" outlineLevel="1">
      <c r="A612" s="43"/>
      <c r="B612" s="13"/>
      <c r="C612" s="13"/>
    </row>
    <row r="613" hidden="1" outlineLevel="1">
      <c r="A613" s="43"/>
      <c r="B613" s="13"/>
      <c r="C613" s="13"/>
    </row>
    <row r="614" hidden="1" outlineLevel="1">
      <c r="A614" s="43"/>
      <c r="B614" s="13"/>
      <c r="C614" s="13"/>
    </row>
    <row r="615" hidden="1" outlineLevel="1">
      <c r="A615" s="43"/>
      <c r="B615" s="13"/>
      <c r="C615" s="13"/>
    </row>
    <row r="616" hidden="1" outlineLevel="1">
      <c r="A616" s="43"/>
      <c r="B616" s="13"/>
      <c r="C616" s="13"/>
    </row>
    <row r="617" hidden="1" outlineLevel="1">
      <c r="A617" s="43"/>
      <c r="B617" s="13"/>
      <c r="C617" s="13"/>
    </row>
    <row r="618" hidden="1" outlineLevel="1">
      <c r="A618" s="43"/>
      <c r="B618" s="13"/>
      <c r="C618" s="13"/>
    </row>
    <row r="619" hidden="1" outlineLevel="1">
      <c r="A619" s="43"/>
      <c r="B619" s="13"/>
      <c r="C619" s="13"/>
    </row>
    <row r="620" hidden="1" outlineLevel="1">
      <c r="A620" s="43"/>
      <c r="B620" s="13"/>
      <c r="C620" s="13"/>
    </row>
    <row r="621" hidden="1" outlineLevel="1">
      <c r="A621" s="43"/>
      <c r="B621" s="13"/>
      <c r="C621" s="13"/>
    </row>
    <row r="622" hidden="1" outlineLevel="1">
      <c r="A622" s="43"/>
      <c r="B622" s="13"/>
      <c r="C622" s="13"/>
    </row>
    <row r="623" hidden="1" outlineLevel="1">
      <c r="A623" s="43"/>
      <c r="B623" s="13"/>
      <c r="C623" s="13"/>
    </row>
    <row r="624" hidden="1" outlineLevel="1">
      <c r="A624" s="43"/>
      <c r="B624" s="13"/>
      <c r="C624" s="13"/>
    </row>
    <row r="625" hidden="1" outlineLevel="1">
      <c r="A625" s="43"/>
      <c r="B625" s="13"/>
      <c r="C625" s="13"/>
    </row>
    <row r="626" hidden="1" outlineLevel="1">
      <c r="A626" s="43"/>
      <c r="B626" s="13"/>
      <c r="C626" s="13"/>
    </row>
    <row r="627" hidden="1" outlineLevel="1">
      <c r="A627" s="43"/>
      <c r="B627" s="13"/>
      <c r="C627" s="13"/>
    </row>
    <row r="628" hidden="1" outlineLevel="1">
      <c r="A628" s="43"/>
      <c r="B628" s="13"/>
      <c r="C628" s="13"/>
    </row>
    <row r="629" hidden="1" outlineLevel="1">
      <c r="A629" s="43"/>
      <c r="B629" s="13"/>
      <c r="C629" s="13"/>
    </row>
    <row r="630" hidden="1" outlineLevel="1">
      <c r="A630" s="43"/>
      <c r="B630" s="13"/>
      <c r="C630" s="13"/>
    </row>
    <row r="631" hidden="1" outlineLevel="1">
      <c r="A631" s="43"/>
      <c r="B631" s="13"/>
      <c r="C631" s="13"/>
    </row>
    <row r="632" hidden="1" outlineLevel="1">
      <c r="A632" s="43"/>
      <c r="B632" s="13"/>
      <c r="C632" s="13"/>
    </row>
    <row r="633" hidden="1" outlineLevel="1">
      <c r="A633" s="43"/>
      <c r="B633" s="13"/>
      <c r="C633" s="13"/>
    </row>
    <row r="634" hidden="1" outlineLevel="1">
      <c r="A634" s="43"/>
      <c r="B634" s="13"/>
      <c r="C634" s="13"/>
    </row>
    <row r="635" hidden="1" outlineLevel="1">
      <c r="A635" s="43"/>
      <c r="B635" s="13"/>
      <c r="C635" s="13"/>
    </row>
    <row r="636" hidden="1" outlineLevel="1">
      <c r="A636" s="43"/>
      <c r="B636" s="13"/>
      <c r="C636" s="13"/>
    </row>
    <row r="637" hidden="1" outlineLevel="1">
      <c r="A637" s="43"/>
      <c r="B637" s="13"/>
      <c r="C637" s="13"/>
    </row>
    <row r="638" hidden="1" outlineLevel="1">
      <c r="A638" s="43"/>
      <c r="B638" s="13"/>
      <c r="C638" s="13"/>
    </row>
    <row r="639" hidden="1" outlineLevel="1">
      <c r="A639" s="43"/>
      <c r="B639" s="13"/>
      <c r="C639" s="13"/>
    </row>
    <row r="640" hidden="1" outlineLevel="1">
      <c r="A640" s="43"/>
      <c r="B640" s="13"/>
      <c r="C640" s="13"/>
    </row>
    <row r="641" hidden="1" outlineLevel="1">
      <c r="A641" s="43"/>
      <c r="B641" s="13"/>
      <c r="C641" s="13"/>
    </row>
    <row r="642" hidden="1" outlineLevel="1">
      <c r="A642" s="43"/>
      <c r="B642" s="13"/>
      <c r="C642" s="13"/>
    </row>
    <row r="643" hidden="1" outlineLevel="1">
      <c r="A643" s="43"/>
      <c r="B643" s="13"/>
      <c r="C643" s="13"/>
    </row>
    <row r="644" hidden="1" outlineLevel="1">
      <c r="A644" s="43"/>
      <c r="B644" s="13"/>
      <c r="C644" s="13"/>
    </row>
    <row r="645" hidden="1" outlineLevel="1">
      <c r="A645" s="43"/>
      <c r="B645" s="13"/>
      <c r="C645" s="13"/>
    </row>
    <row r="646" hidden="1" outlineLevel="1">
      <c r="A646" s="43"/>
      <c r="B646" s="13"/>
      <c r="C646" s="13"/>
    </row>
    <row r="647" hidden="1" outlineLevel="1">
      <c r="A647" s="43"/>
      <c r="B647" s="13"/>
      <c r="C647" s="13"/>
    </row>
    <row r="648" hidden="1" outlineLevel="1">
      <c r="A648" s="43"/>
      <c r="B648" s="13"/>
      <c r="C648" s="13"/>
    </row>
    <row r="649" hidden="1" outlineLevel="1">
      <c r="A649" s="43"/>
      <c r="B649" s="13"/>
      <c r="C649" s="13"/>
    </row>
    <row r="650" hidden="1" outlineLevel="1">
      <c r="A650" s="43"/>
      <c r="B650" s="13"/>
      <c r="C650" s="13"/>
    </row>
    <row r="651" hidden="1" outlineLevel="1">
      <c r="A651" s="43"/>
      <c r="B651" s="13"/>
      <c r="C651" s="13"/>
    </row>
    <row r="652" hidden="1" outlineLevel="1">
      <c r="A652" s="43"/>
      <c r="B652" s="13"/>
      <c r="C652" s="13"/>
    </row>
    <row r="653" hidden="1" outlineLevel="1">
      <c r="A653" s="43"/>
      <c r="B653" s="13"/>
      <c r="C653" s="13"/>
    </row>
    <row r="654" hidden="1" outlineLevel="1">
      <c r="A654" s="43"/>
      <c r="B654" s="13"/>
      <c r="C654" s="13"/>
    </row>
    <row r="655" hidden="1" outlineLevel="1">
      <c r="A655" s="43"/>
      <c r="B655" s="13"/>
      <c r="C655" s="13"/>
    </row>
    <row r="656" hidden="1" outlineLevel="1">
      <c r="A656" s="43"/>
      <c r="B656" s="13"/>
      <c r="C656" s="13"/>
    </row>
    <row r="657" hidden="1" outlineLevel="1">
      <c r="A657" s="43"/>
      <c r="B657" s="13"/>
      <c r="C657" s="13"/>
    </row>
    <row r="658" hidden="1" outlineLevel="1">
      <c r="A658" s="43"/>
      <c r="B658" s="13"/>
      <c r="C658" s="13"/>
    </row>
    <row r="659" hidden="1" outlineLevel="1">
      <c r="A659" s="43"/>
      <c r="B659" s="13"/>
      <c r="C659" s="13"/>
    </row>
    <row r="660" hidden="1" outlineLevel="1">
      <c r="A660" s="43"/>
      <c r="B660" s="13"/>
      <c r="C660" s="13"/>
    </row>
    <row r="661" hidden="1" outlineLevel="1">
      <c r="A661" s="43"/>
      <c r="B661" s="13"/>
      <c r="C661" s="13"/>
    </row>
    <row r="662" hidden="1" outlineLevel="1">
      <c r="A662" s="43"/>
      <c r="B662" s="13"/>
      <c r="C662" s="13"/>
    </row>
    <row r="663" hidden="1" outlineLevel="1">
      <c r="A663" s="43"/>
      <c r="B663" s="13"/>
      <c r="C663" s="13"/>
    </row>
    <row r="664" hidden="1" outlineLevel="1">
      <c r="A664" s="43"/>
      <c r="B664" s="13"/>
      <c r="C664" s="13"/>
    </row>
    <row r="665" hidden="1" outlineLevel="1">
      <c r="A665" s="43"/>
      <c r="B665" s="13"/>
      <c r="C665" s="13"/>
    </row>
    <row r="666" hidden="1" outlineLevel="1">
      <c r="A666" s="43"/>
      <c r="B666" s="13"/>
      <c r="C666" s="13"/>
    </row>
    <row r="667" hidden="1" outlineLevel="1">
      <c r="A667" s="43"/>
      <c r="B667" s="13"/>
      <c r="C667" s="13"/>
    </row>
    <row r="668" hidden="1" outlineLevel="1">
      <c r="A668" s="43"/>
      <c r="B668" s="13"/>
      <c r="C668" s="13"/>
    </row>
    <row r="669" hidden="1" outlineLevel="1">
      <c r="A669" s="43"/>
      <c r="B669" s="13"/>
      <c r="C669" s="13"/>
    </row>
    <row r="670" hidden="1" outlineLevel="1">
      <c r="A670" s="43"/>
      <c r="B670" s="13"/>
      <c r="C670" s="13"/>
    </row>
    <row r="671" hidden="1" outlineLevel="1">
      <c r="A671" s="43"/>
      <c r="B671" s="13"/>
      <c r="C671" s="13"/>
    </row>
    <row r="672" hidden="1" outlineLevel="1">
      <c r="A672" s="43"/>
      <c r="B672" s="13"/>
      <c r="C672" s="13"/>
    </row>
    <row r="673" hidden="1" outlineLevel="1">
      <c r="A673" s="43"/>
      <c r="B673" s="13"/>
      <c r="C673" s="13"/>
    </row>
    <row r="674" hidden="1" outlineLevel="1">
      <c r="A674" s="43"/>
      <c r="B674" s="13"/>
      <c r="C674" s="13"/>
    </row>
    <row r="675" hidden="1" outlineLevel="1">
      <c r="A675" s="43"/>
      <c r="B675" s="13"/>
      <c r="C675" s="13"/>
    </row>
    <row r="676" hidden="1" outlineLevel="1">
      <c r="A676" s="43"/>
      <c r="B676" s="13"/>
      <c r="C676" s="13"/>
    </row>
    <row r="677" hidden="1" outlineLevel="1">
      <c r="A677" s="43"/>
      <c r="B677" s="13"/>
      <c r="C677" s="13"/>
    </row>
    <row r="678" hidden="1" outlineLevel="1">
      <c r="A678" s="43"/>
      <c r="B678" s="13"/>
      <c r="C678" s="13"/>
    </row>
    <row r="679" hidden="1" outlineLevel="1">
      <c r="A679" s="43"/>
      <c r="B679" s="13"/>
      <c r="C679" s="13"/>
    </row>
    <row r="680" hidden="1" outlineLevel="1">
      <c r="A680" s="43"/>
      <c r="B680" s="13"/>
      <c r="C680" s="13"/>
    </row>
    <row r="681" hidden="1" outlineLevel="1">
      <c r="A681" s="43"/>
      <c r="B681" s="13"/>
      <c r="C681" s="13"/>
    </row>
    <row r="682" hidden="1" outlineLevel="1">
      <c r="A682" s="43"/>
      <c r="B682" s="13"/>
      <c r="C682" s="13"/>
    </row>
    <row r="683" hidden="1" outlineLevel="1">
      <c r="A683" s="43"/>
      <c r="B683" s="13"/>
      <c r="C683" s="13"/>
    </row>
    <row r="684" hidden="1" outlineLevel="1">
      <c r="A684" s="43"/>
      <c r="B684" s="13"/>
      <c r="C684" s="13"/>
    </row>
    <row r="685" hidden="1" outlineLevel="1">
      <c r="A685" s="43"/>
      <c r="B685" s="13"/>
      <c r="C685" s="13"/>
    </row>
    <row r="686" hidden="1" outlineLevel="1">
      <c r="A686" s="43"/>
      <c r="B686" s="13"/>
      <c r="C686" s="13"/>
    </row>
    <row r="687" hidden="1" outlineLevel="1">
      <c r="A687" s="43"/>
      <c r="B687" s="13"/>
      <c r="C687" s="13"/>
    </row>
    <row r="688" hidden="1" outlineLevel="1">
      <c r="A688" s="43"/>
      <c r="B688" s="13"/>
      <c r="C688" s="13"/>
    </row>
    <row r="689" hidden="1" outlineLevel="1">
      <c r="A689" s="43"/>
      <c r="B689" s="13"/>
      <c r="C689" s="13"/>
    </row>
    <row r="690" hidden="1" outlineLevel="1">
      <c r="A690" s="43"/>
      <c r="B690" s="13"/>
      <c r="C690" s="13"/>
    </row>
    <row r="691" hidden="1" outlineLevel="1">
      <c r="A691" s="43"/>
      <c r="B691" s="13"/>
      <c r="C691" s="13"/>
    </row>
    <row r="692" hidden="1" outlineLevel="1">
      <c r="A692" s="43"/>
      <c r="B692" s="13"/>
      <c r="C692" s="13"/>
    </row>
    <row r="693" hidden="1" outlineLevel="1">
      <c r="A693" s="43"/>
      <c r="B693" s="13"/>
      <c r="C693" s="13"/>
    </row>
    <row r="694" hidden="1" outlineLevel="1">
      <c r="A694" s="43"/>
      <c r="B694" s="13"/>
      <c r="C694" s="13"/>
    </row>
    <row r="695" hidden="1" outlineLevel="1">
      <c r="A695" s="43"/>
      <c r="B695" s="13"/>
      <c r="C695" s="13"/>
    </row>
    <row r="696" hidden="1" outlineLevel="1">
      <c r="A696" s="43"/>
      <c r="B696" s="13"/>
      <c r="C696" s="13"/>
    </row>
    <row r="697" hidden="1" outlineLevel="1">
      <c r="A697" s="43"/>
      <c r="B697" s="13"/>
      <c r="C697" s="13"/>
    </row>
    <row r="698" hidden="1" outlineLevel="1">
      <c r="A698" s="43"/>
      <c r="B698" s="13"/>
      <c r="C698" s="13"/>
    </row>
    <row r="699" hidden="1" outlineLevel="1">
      <c r="A699" s="43"/>
      <c r="B699" s="13"/>
      <c r="C699" s="13"/>
    </row>
    <row r="700" hidden="1" outlineLevel="1">
      <c r="A700" s="43"/>
      <c r="B700" s="13"/>
      <c r="C700" s="13"/>
    </row>
    <row r="701" hidden="1" outlineLevel="1">
      <c r="A701" s="43"/>
      <c r="B701" s="13"/>
      <c r="C701" s="13"/>
    </row>
    <row r="702" hidden="1" outlineLevel="1">
      <c r="A702" s="43"/>
      <c r="B702" s="13"/>
      <c r="C702" s="13"/>
    </row>
    <row r="703" hidden="1" outlineLevel="1">
      <c r="A703" s="43"/>
      <c r="B703" s="13"/>
      <c r="C703" s="13"/>
    </row>
    <row r="704" hidden="1" outlineLevel="1">
      <c r="A704" s="43"/>
      <c r="B704" s="13"/>
      <c r="C704" s="13"/>
    </row>
    <row r="705" hidden="1" outlineLevel="1">
      <c r="A705" s="43"/>
      <c r="B705" s="13"/>
      <c r="C705" s="13"/>
    </row>
    <row r="706" hidden="1" outlineLevel="1">
      <c r="A706" s="43"/>
      <c r="B706" s="13"/>
      <c r="C706" s="13"/>
    </row>
    <row r="707" hidden="1" outlineLevel="1">
      <c r="A707" s="43"/>
      <c r="B707" s="13"/>
      <c r="C707" s="13"/>
    </row>
    <row r="708" hidden="1" outlineLevel="1">
      <c r="A708" s="43"/>
      <c r="B708" s="13"/>
      <c r="C708" s="13"/>
    </row>
    <row r="709" hidden="1" outlineLevel="1">
      <c r="A709" s="43"/>
      <c r="B709" s="13"/>
      <c r="C709" s="13"/>
    </row>
    <row r="710" hidden="1" outlineLevel="1">
      <c r="A710" s="43"/>
      <c r="B710" s="13"/>
      <c r="C710" s="13"/>
    </row>
    <row r="711" hidden="1" outlineLevel="1">
      <c r="A711" s="43"/>
      <c r="B711" s="13"/>
      <c r="C711" s="13"/>
    </row>
    <row r="712" hidden="1" outlineLevel="1">
      <c r="A712" s="43"/>
      <c r="B712" s="13"/>
      <c r="C712" s="13"/>
    </row>
    <row r="713" hidden="1" outlineLevel="1">
      <c r="A713" s="43"/>
      <c r="B713" s="13"/>
      <c r="C713" s="13"/>
    </row>
    <row r="714" hidden="1" outlineLevel="1">
      <c r="A714" s="43"/>
      <c r="B714" s="13"/>
      <c r="C714" s="13"/>
    </row>
    <row r="715" hidden="1" outlineLevel="1">
      <c r="A715" s="43"/>
      <c r="B715" s="13"/>
      <c r="C715" s="13"/>
    </row>
    <row r="716" hidden="1" outlineLevel="1">
      <c r="A716" s="43"/>
      <c r="B716" s="13"/>
      <c r="C716" s="13"/>
    </row>
    <row r="717" hidden="1" outlineLevel="1">
      <c r="A717" s="43"/>
      <c r="B717" s="13"/>
      <c r="C717" s="13"/>
    </row>
    <row r="718" hidden="1" outlineLevel="1">
      <c r="A718" s="43"/>
      <c r="B718" s="13"/>
      <c r="C718" s="13"/>
    </row>
    <row r="719" hidden="1" outlineLevel="1">
      <c r="A719" s="43"/>
      <c r="B719" s="13"/>
      <c r="C719" s="13"/>
    </row>
    <row r="720" hidden="1" outlineLevel="1">
      <c r="A720" s="43"/>
      <c r="B720" s="13"/>
      <c r="C720" s="13"/>
    </row>
    <row r="721" hidden="1" outlineLevel="1">
      <c r="A721" s="43"/>
      <c r="B721" s="13"/>
      <c r="C721" s="13"/>
    </row>
    <row r="722" hidden="1" outlineLevel="1">
      <c r="A722" s="43"/>
      <c r="B722" s="13"/>
      <c r="C722" s="13"/>
    </row>
    <row r="723" hidden="1" outlineLevel="1">
      <c r="A723" s="43"/>
      <c r="B723" s="13"/>
      <c r="C723" s="13"/>
    </row>
    <row r="724" hidden="1" outlineLevel="1">
      <c r="A724" s="43"/>
      <c r="B724" s="13"/>
      <c r="C724" s="13"/>
    </row>
    <row r="725" hidden="1" outlineLevel="1">
      <c r="A725" s="43"/>
      <c r="B725" s="13"/>
      <c r="C725" s="13"/>
    </row>
    <row r="726" hidden="1" outlineLevel="1">
      <c r="A726" s="43"/>
      <c r="B726" s="13"/>
      <c r="C726" s="13"/>
    </row>
    <row r="727" hidden="1" outlineLevel="1">
      <c r="A727" s="43"/>
      <c r="B727" s="13"/>
      <c r="C727" s="13"/>
    </row>
    <row r="728" hidden="1" outlineLevel="1">
      <c r="A728" s="43"/>
      <c r="B728" s="13"/>
      <c r="C728" s="13"/>
    </row>
    <row r="729" hidden="1" outlineLevel="1">
      <c r="A729" s="43"/>
      <c r="B729" s="13"/>
      <c r="C729" s="13"/>
    </row>
    <row r="730" hidden="1" outlineLevel="1">
      <c r="A730" s="43"/>
      <c r="B730" s="13"/>
      <c r="C730" s="13"/>
    </row>
    <row r="731" hidden="1" outlineLevel="1">
      <c r="A731" s="43"/>
      <c r="B731" s="13"/>
      <c r="C731" s="13"/>
    </row>
    <row r="732" hidden="1" outlineLevel="1">
      <c r="A732" s="43"/>
      <c r="B732" s="13"/>
      <c r="C732" s="13"/>
    </row>
    <row r="733" hidden="1" outlineLevel="1">
      <c r="A733" s="43"/>
      <c r="B733" s="13"/>
      <c r="C733" s="13"/>
    </row>
    <row r="734" hidden="1" outlineLevel="1">
      <c r="A734" s="43"/>
      <c r="B734" s="13"/>
      <c r="C734" s="13"/>
    </row>
    <row r="735" hidden="1" outlineLevel="1">
      <c r="A735" s="43"/>
      <c r="B735" s="13"/>
      <c r="C735" s="13"/>
    </row>
    <row r="736" hidden="1" outlineLevel="1">
      <c r="A736" s="43"/>
      <c r="B736" s="13"/>
      <c r="C736" s="13"/>
    </row>
    <row r="737" hidden="1" outlineLevel="1">
      <c r="A737" s="43"/>
      <c r="B737" s="13"/>
      <c r="C737" s="13"/>
    </row>
    <row r="738" hidden="1" outlineLevel="1">
      <c r="A738" s="43"/>
      <c r="B738" s="13"/>
      <c r="C738" s="13"/>
    </row>
    <row r="739" hidden="1" outlineLevel="1">
      <c r="A739" s="43"/>
      <c r="B739" s="13"/>
      <c r="C739" s="13"/>
    </row>
    <row r="740" hidden="1" outlineLevel="1">
      <c r="A740" s="43"/>
      <c r="B740" s="13"/>
      <c r="C740" s="13"/>
    </row>
    <row r="741" hidden="1" outlineLevel="1">
      <c r="A741" s="43"/>
      <c r="B741" s="13"/>
      <c r="C741" s="13"/>
    </row>
    <row r="742" hidden="1" outlineLevel="1">
      <c r="A742" s="43"/>
      <c r="B742" s="13"/>
      <c r="C742" s="13"/>
    </row>
    <row r="743" hidden="1" outlineLevel="1">
      <c r="A743" s="43"/>
      <c r="B743" s="13"/>
      <c r="C743" s="13"/>
    </row>
    <row r="744" hidden="1" outlineLevel="1">
      <c r="A744" s="43"/>
      <c r="B744" s="13"/>
      <c r="C744" s="13"/>
    </row>
    <row r="745" hidden="1" outlineLevel="1">
      <c r="A745" s="43"/>
      <c r="B745" s="13"/>
      <c r="C745" s="13"/>
    </row>
    <row r="746" hidden="1" outlineLevel="1">
      <c r="A746" s="43"/>
      <c r="B746" s="13"/>
      <c r="C746" s="13"/>
    </row>
    <row r="747" hidden="1" outlineLevel="1">
      <c r="A747" s="43"/>
      <c r="B747" s="13"/>
      <c r="C747" s="13"/>
    </row>
    <row r="748" hidden="1" outlineLevel="1">
      <c r="A748" s="43"/>
      <c r="B748" s="13"/>
      <c r="C748" s="13"/>
    </row>
    <row r="749" hidden="1" outlineLevel="1">
      <c r="A749" s="43"/>
      <c r="B749" s="13"/>
      <c r="C749" s="13"/>
    </row>
    <row r="750" hidden="1" outlineLevel="1">
      <c r="A750" s="43"/>
      <c r="B750" s="13"/>
      <c r="C750" s="13"/>
    </row>
    <row r="751" hidden="1" outlineLevel="1">
      <c r="A751" s="43"/>
      <c r="B751" s="13"/>
      <c r="C751" s="13"/>
    </row>
    <row r="752" hidden="1" outlineLevel="1">
      <c r="A752" s="43"/>
      <c r="B752" s="13"/>
      <c r="C752" s="13"/>
    </row>
    <row r="753" hidden="1" outlineLevel="1">
      <c r="A753" s="43"/>
      <c r="B753" s="13"/>
      <c r="C753" s="13"/>
    </row>
    <row r="754" hidden="1" outlineLevel="1">
      <c r="A754" s="43"/>
      <c r="B754" s="13"/>
      <c r="C754" s="13"/>
    </row>
    <row r="755" hidden="1" outlineLevel="1">
      <c r="A755" s="43"/>
      <c r="B755" s="13"/>
      <c r="C755" s="13"/>
    </row>
    <row r="756" hidden="1" outlineLevel="1">
      <c r="A756" s="43"/>
      <c r="B756" s="13"/>
      <c r="C756" s="13"/>
    </row>
    <row r="757" hidden="1" outlineLevel="1">
      <c r="A757" s="43"/>
      <c r="B757" s="13"/>
      <c r="C757" s="13"/>
    </row>
    <row r="758" hidden="1" outlineLevel="1">
      <c r="A758" s="43"/>
      <c r="B758" s="13"/>
      <c r="C758" s="13"/>
    </row>
    <row r="759" hidden="1" outlineLevel="1">
      <c r="A759" s="43"/>
      <c r="B759" s="13"/>
      <c r="C759" s="13"/>
    </row>
    <row r="760" hidden="1" outlineLevel="1">
      <c r="A760" s="43"/>
      <c r="B760" s="13"/>
      <c r="C760" s="13"/>
    </row>
    <row r="761" hidden="1" outlineLevel="1">
      <c r="A761" s="43"/>
      <c r="B761" s="13"/>
      <c r="C761" s="13"/>
    </row>
    <row r="762" hidden="1" outlineLevel="1">
      <c r="A762" s="43"/>
      <c r="B762" s="13"/>
      <c r="C762" s="13"/>
    </row>
    <row r="763" hidden="1" outlineLevel="1">
      <c r="A763" s="43"/>
      <c r="B763" s="13"/>
      <c r="C763" s="13"/>
    </row>
    <row r="764" hidden="1" outlineLevel="1">
      <c r="A764" s="43"/>
      <c r="B764" s="13"/>
      <c r="C764" s="13"/>
    </row>
    <row r="765" hidden="1" outlineLevel="1">
      <c r="A765" s="43"/>
      <c r="B765" s="13"/>
      <c r="C765" s="13"/>
    </row>
    <row r="766" hidden="1" outlineLevel="1">
      <c r="A766" s="43"/>
      <c r="B766" s="13"/>
      <c r="C766" s="13"/>
    </row>
    <row r="767" hidden="1" outlineLevel="1">
      <c r="A767" s="43"/>
      <c r="B767" s="13"/>
      <c r="C767" s="13"/>
    </row>
    <row r="768" hidden="1" outlineLevel="1">
      <c r="A768" s="43"/>
      <c r="B768" s="13"/>
      <c r="C768" s="13"/>
    </row>
    <row r="769" hidden="1" outlineLevel="1">
      <c r="A769" s="43"/>
      <c r="B769" s="13"/>
      <c r="C769" s="13"/>
    </row>
    <row r="770" hidden="1" outlineLevel="1">
      <c r="A770" s="43"/>
      <c r="B770" s="13"/>
      <c r="C770" s="13"/>
    </row>
    <row r="771" hidden="1" outlineLevel="1">
      <c r="A771" s="43"/>
      <c r="B771" s="13"/>
      <c r="C771" s="13"/>
    </row>
    <row r="772" hidden="1" outlineLevel="1">
      <c r="A772" s="43"/>
      <c r="B772" s="13"/>
      <c r="C772" s="13"/>
    </row>
    <row r="773" hidden="1" outlineLevel="1">
      <c r="A773" s="43"/>
      <c r="B773" s="13"/>
      <c r="C773" s="13"/>
    </row>
    <row r="774" hidden="1" outlineLevel="1">
      <c r="A774" s="43"/>
      <c r="B774" s="13"/>
      <c r="C774" s="13"/>
    </row>
    <row r="775" hidden="1" outlineLevel="1">
      <c r="A775" s="43"/>
      <c r="B775" s="13"/>
      <c r="C775" s="13"/>
    </row>
    <row r="776" hidden="1" outlineLevel="1">
      <c r="A776" s="43"/>
      <c r="B776" s="13"/>
      <c r="C776" s="13"/>
    </row>
    <row r="777" hidden="1" outlineLevel="1">
      <c r="A777" s="43"/>
      <c r="B777" s="13"/>
      <c r="C777" s="13"/>
    </row>
    <row r="778" hidden="1" outlineLevel="1">
      <c r="A778" s="43"/>
      <c r="B778" s="13"/>
      <c r="C778" s="13"/>
    </row>
    <row r="779" hidden="1" outlineLevel="1">
      <c r="A779" s="43"/>
      <c r="B779" s="13"/>
      <c r="C779" s="13"/>
    </row>
    <row r="780" hidden="1" outlineLevel="1">
      <c r="A780" s="43"/>
      <c r="B780" s="13"/>
      <c r="C780" s="13"/>
    </row>
    <row r="781" hidden="1" outlineLevel="1">
      <c r="A781" s="43"/>
      <c r="B781" s="13"/>
      <c r="C781" s="13"/>
    </row>
    <row r="782" hidden="1" outlineLevel="1">
      <c r="A782" s="43"/>
      <c r="B782" s="13"/>
      <c r="C782" s="13"/>
    </row>
    <row r="783" hidden="1" outlineLevel="1">
      <c r="A783" s="43"/>
      <c r="B783" s="13"/>
      <c r="C783" s="13"/>
    </row>
    <row r="784" hidden="1" outlineLevel="1">
      <c r="A784" s="43"/>
      <c r="B784" s="13"/>
      <c r="C784" s="13"/>
    </row>
    <row r="785" hidden="1" outlineLevel="1">
      <c r="A785" s="43"/>
      <c r="B785" s="13"/>
      <c r="C785" s="13"/>
    </row>
    <row r="786" hidden="1" outlineLevel="1">
      <c r="A786" s="43"/>
      <c r="B786" s="13"/>
      <c r="C786" s="13"/>
    </row>
    <row r="787" hidden="1" outlineLevel="1">
      <c r="A787" s="43"/>
      <c r="B787" s="13"/>
      <c r="C787" s="13"/>
    </row>
    <row r="788" hidden="1" outlineLevel="1">
      <c r="A788" s="43"/>
      <c r="B788" s="13"/>
      <c r="C788" s="13"/>
    </row>
    <row r="789" hidden="1" outlineLevel="1">
      <c r="A789" s="43"/>
      <c r="B789" s="13"/>
      <c r="C789" s="13"/>
    </row>
    <row r="790" hidden="1" outlineLevel="1">
      <c r="A790" s="43"/>
      <c r="B790" s="13"/>
      <c r="C790" s="13"/>
    </row>
    <row r="791" hidden="1" outlineLevel="1">
      <c r="A791" s="43"/>
      <c r="B791" s="13"/>
      <c r="C791" s="13"/>
    </row>
    <row r="792" hidden="1" outlineLevel="1">
      <c r="A792" s="43"/>
      <c r="B792" s="13"/>
      <c r="C792" s="13"/>
    </row>
    <row r="793" hidden="1" outlineLevel="1">
      <c r="A793" s="43"/>
      <c r="B793" s="13"/>
      <c r="C793" s="13"/>
    </row>
    <row r="794" hidden="1" outlineLevel="1">
      <c r="A794" s="43"/>
      <c r="B794" s="13"/>
      <c r="C794" s="13"/>
    </row>
    <row r="795" hidden="1" outlineLevel="1">
      <c r="A795" s="43"/>
      <c r="B795" s="13"/>
      <c r="C795" s="13"/>
    </row>
    <row r="796" hidden="1" outlineLevel="1">
      <c r="A796" s="43"/>
      <c r="B796" s="13"/>
      <c r="C796" s="13"/>
    </row>
    <row r="797" hidden="1" outlineLevel="1">
      <c r="A797" s="43"/>
      <c r="B797" s="13"/>
      <c r="C797" s="13"/>
    </row>
    <row r="798" hidden="1" outlineLevel="1">
      <c r="A798" s="43"/>
      <c r="B798" s="13"/>
      <c r="C798" s="13"/>
    </row>
    <row r="799" hidden="1" outlineLevel="1">
      <c r="A799" s="43"/>
      <c r="B799" s="13"/>
      <c r="C799" s="13"/>
    </row>
    <row r="800" hidden="1" outlineLevel="1">
      <c r="A800" s="43"/>
      <c r="B800" s="13"/>
      <c r="C800" s="13"/>
    </row>
    <row r="801" hidden="1" outlineLevel="1">
      <c r="A801" s="43"/>
      <c r="B801" s="13"/>
      <c r="C801" s="13"/>
    </row>
    <row r="802" hidden="1" outlineLevel="1">
      <c r="A802" s="43"/>
      <c r="B802" s="13"/>
      <c r="C802" s="13"/>
    </row>
    <row r="803" hidden="1" outlineLevel="1">
      <c r="A803" s="43"/>
      <c r="B803" s="13"/>
      <c r="C803" s="13"/>
    </row>
    <row r="804" hidden="1" outlineLevel="1">
      <c r="A804" s="43"/>
      <c r="B804" s="13"/>
      <c r="C804" s="13"/>
    </row>
    <row r="805" hidden="1" outlineLevel="1">
      <c r="A805" s="43"/>
      <c r="B805" s="13"/>
      <c r="C805" s="13"/>
    </row>
    <row r="806" hidden="1" outlineLevel="1">
      <c r="A806" s="43"/>
      <c r="B806" s="13"/>
      <c r="C806" s="13"/>
    </row>
    <row r="807" hidden="1" outlineLevel="1">
      <c r="A807" s="43"/>
      <c r="B807" s="13"/>
      <c r="C807" s="13"/>
    </row>
    <row r="808" hidden="1" outlineLevel="1">
      <c r="A808" s="43"/>
      <c r="B808" s="13"/>
      <c r="C808" s="13"/>
    </row>
    <row r="809" hidden="1" outlineLevel="1">
      <c r="A809" s="43"/>
      <c r="B809" s="13"/>
      <c r="C809" s="13"/>
    </row>
    <row r="810" hidden="1" outlineLevel="1">
      <c r="A810" s="43"/>
      <c r="B810" s="13"/>
      <c r="C810" s="13"/>
    </row>
    <row r="811" hidden="1" outlineLevel="1">
      <c r="A811" s="43"/>
      <c r="B811" s="13"/>
      <c r="C811" s="13"/>
    </row>
    <row r="812" hidden="1" outlineLevel="1">
      <c r="A812" s="43"/>
      <c r="B812" s="13"/>
      <c r="C812" s="13"/>
    </row>
    <row r="813" hidden="1" outlineLevel="1">
      <c r="A813" s="43"/>
      <c r="B813" s="13"/>
      <c r="C813" s="13"/>
    </row>
    <row r="814" hidden="1" outlineLevel="1">
      <c r="A814" s="43"/>
      <c r="B814" s="13"/>
      <c r="C814" s="13"/>
    </row>
    <row r="815" hidden="1" outlineLevel="1">
      <c r="A815" s="43"/>
      <c r="B815" s="13"/>
      <c r="C815" s="13"/>
    </row>
    <row r="816" hidden="1" outlineLevel="1">
      <c r="A816" s="43"/>
      <c r="B816" s="13"/>
      <c r="C816" s="13"/>
    </row>
    <row r="817" hidden="1" outlineLevel="1">
      <c r="A817" s="43"/>
      <c r="B817" s="13"/>
      <c r="C817" s="13"/>
    </row>
    <row r="818" hidden="1" outlineLevel="1">
      <c r="A818" s="43"/>
      <c r="B818" s="13"/>
      <c r="C818" s="13"/>
    </row>
    <row r="819" hidden="1" outlineLevel="1">
      <c r="A819" s="43"/>
      <c r="B819" s="13"/>
      <c r="C819" s="13"/>
    </row>
    <row r="820" hidden="1" outlineLevel="1">
      <c r="A820" s="43"/>
      <c r="B820" s="13"/>
      <c r="C820" s="13"/>
    </row>
    <row r="821" hidden="1" outlineLevel="1">
      <c r="A821" s="43"/>
      <c r="B821" s="13"/>
      <c r="C821" s="13"/>
    </row>
    <row r="822" hidden="1" outlineLevel="1">
      <c r="A822" s="43"/>
      <c r="B822" s="13"/>
      <c r="C822" s="13"/>
    </row>
    <row r="823" hidden="1" outlineLevel="1">
      <c r="A823" s="43"/>
      <c r="B823" s="13"/>
      <c r="C823" s="13"/>
    </row>
    <row r="824" hidden="1" outlineLevel="1">
      <c r="A824" s="43"/>
      <c r="B824" s="13"/>
      <c r="C824" s="13"/>
    </row>
    <row r="825" hidden="1" outlineLevel="1">
      <c r="A825" s="43"/>
      <c r="B825" s="13"/>
      <c r="C825" s="13"/>
    </row>
    <row r="826" hidden="1" outlineLevel="1">
      <c r="A826" s="43"/>
      <c r="B826" s="13"/>
      <c r="C826" s="13"/>
    </row>
    <row r="827" hidden="1" outlineLevel="1">
      <c r="A827" s="43"/>
      <c r="B827" s="13"/>
      <c r="C827" s="13"/>
    </row>
    <row r="828" hidden="1" outlineLevel="1">
      <c r="A828" s="43"/>
      <c r="B828" s="13"/>
      <c r="C828" s="13"/>
    </row>
    <row r="829" hidden="1" outlineLevel="1">
      <c r="A829" s="43"/>
      <c r="B829" s="13"/>
      <c r="C829" s="13"/>
    </row>
    <row r="830" hidden="1" outlineLevel="1">
      <c r="A830" s="43"/>
      <c r="B830" s="13"/>
      <c r="C830" s="13"/>
    </row>
    <row r="831" hidden="1" outlineLevel="1">
      <c r="A831" s="43"/>
      <c r="B831" s="13"/>
      <c r="C831" s="13"/>
    </row>
    <row r="832" hidden="1" outlineLevel="1">
      <c r="A832" s="43"/>
      <c r="B832" s="13"/>
      <c r="C832" s="13"/>
    </row>
    <row r="833" hidden="1" outlineLevel="1">
      <c r="A833" s="43"/>
      <c r="B833" s="13"/>
      <c r="C833" s="13"/>
    </row>
    <row r="834" hidden="1" outlineLevel="1">
      <c r="A834" s="43"/>
      <c r="B834" s="13"/>
      <c r="C834" s="13"/>
    </row>
    <row r="835" hidden="1" outlineLevel="1">
      <c r="A835" s="43"/>
      <c r="B835" s="13"/>
      <c r="C835" s="13"/>
    </row>
    <row r="836" hidden="1" outlineLevel="1">
      <c r="A836" s="43"/>
      <c r="B836" s="13"/>
      <c r="C836" s="13"/>
    </row>
    <row r="837" hidden="1" outlineLevel="1">
      <c r="A837" s="43"/>
      <c r="B837" s="13"/>
      <c r="C837" s="13"/>
    </row>
    <row r="838" hidden="1" outlineLevel="1">
      <c r="A838" s="43"/>
      <c r="B838" s="13"/>
      <c r="C838" s="13"/>
    </row>
    <row r="839" hidden="1" outlineLevel="1">
      <c r="A839" s="43"/>
      <c r="B839" s="13"/>
      <c r="C839" s="13"/>
    </row>
    <row r="840" hidden="1" outlineLevel="1">
      <c r="A840" s="43"/>
      <c r="B840" s="13"/>
      <c r="C840" s="13"/>
    </row>
    <row r="841" hidden="1" outlineLevel="1">
      <c r="A841" s="43"/>
      <c r="B841" s="13"/>
      <c r="C841" s="13"/>
    </row>
    <row r="842" hidden="1" outlineLevel="1">
      <c r="A842" s="43"/>
      <c r="B842" s="13"/>
      <c r="C842" s="13"/>
    </row>
    <row r="843" hidden="1" outlineLevel="1">
      <c r="A843" s="43"/>
      <c r="B843" s="13"/>
      <c r="C843" s="13"/>
    </row>
    <row r="844" hidden="1" outlineLevel="1">
      <c r="A844" s="43"/>
      <c r="B844" s="13"/>
      <c r="C844" s="13"/>
    </row>
    <row r="845" hidden="1" outlineLevel="1">
      <c r="A845" s="43"/>
      <c r="B845" s="13"/>
      <c r="C845" s="13"/>
    </row>
    <row r="846" hidden="1" outlineLevel="1">
      <c r="A846" s="43"/>
      <c r="B846" s="13"/>
      <c r="C846" s="13"/>
    </row>
    <row r="847" hidden="1" outlineLevel="1">
      <c r="A847" s="43"/>
      <c r="B847" s="13"/>
      <c r="C847" s="13"/>
    </row>
    <row r="848" hidden="1" outlineLevel="1">
      <c r="A848" s="43"/>
      <c r="B848" s="13"/>
      <c r="C848" s="13"/>
    </row>
    <row r="849" hidden="1" outlineLevel="1">
      <c r="A849" s="43"/>
      <c r="B849" s="13"/>
      <c r="C849" s="13"/>
    </row>
    <row r="850" hidden="1" outlineLevel="1">
      <c r="A850" s="43"/>
      <c r="B850" s="13"/>
      <c r="C850" s="13"/>
    </row>
    <row r="851" hidden="1" outlineLevel="1">
      <c r="A851" s="43"/>
      <c r="B851" s="13"/>
      <c r="C851" s="13"/>
    </row>
    <row r="852" hidden="1" outlineLevel="1">
      <c r="A852" s="43"/>
      <c r="B852" s="13"/>
      <c r="C852" s="13"/>
    </row>
    <row r="853" hidden="1" outlineLevel="1">
      <c r="A853" s="43"/>
      <c r="B853" s="13"/>
      <c r="C853" s="13"/>
    </row>
    <row r="854" hidden="1" outlineLevel="1">
      <c r="A854" s="43"/>
      <c r="B854" s="13"/>
      <c r="C854" s="13"/>
    </row>
    <row r="855" hidden="1" outlineLevel="1">
      <c r="A855" s="43"/>
      <c r="B855" s="13"/>
      <c r="C855" s="13"/>
    </row>
    <row r="856" hidden="1" outlineLevel="1">
      <c r="A856" s="43"/>
      <c r="B856" s="13"/>
      <c r="C856" s="13"/>
    </row>
    <row r="857" hidden="1" outlineLevel="1">
      <c r="A857" s="43"/>
      <c r="B857" s="13"/>
      <c r="C857" s="13"/>
    </row>
    <row r="858" hidden="1" outlineLevel="1">
      <c r="A858" s="43"/>
      <c r="B858" s="13"/>
      <c r="C858" s="13"/>
    </row>
    <row r="859" hidden="1" outlineLevel="1">
      <c r="A859" s="43"/>
      <c r="B859" s="13"/>
      <c r="C859" s="13"/>
    </row>
    <row r="860" hidden="1" outlineLevel="1">
      <c r="A860" s="43"/>
      <c r="B860" s="13"/>
      <c r="C860" s="13"/>
    </row>
    <row r="861" hidden="1" outlineLevel="1">
      <c r="A861" s="43"/>
      <c r="B861" s="13"/>
      <c r="C861" s="13"/>
    </row>
    <row r="862" hidden="1" outlineLevel="1">
      <c r="A862" s="43"/>
      <c r="B862" s="13"/>
      <c r="C862" s="13"/>
    </row>
    <row r="863" hidden="1" outlineLevel="1">
      <c r="A863" s="43"/>
      <c r="B863" s="13"/>
      <c r="C863" s="13"/>
    </row>
    <row r="864" hidden="1" outlineLevel="1">
      <c r="A864" s="43"/>
      <c r="B864" s="13"/>
      <c r="C864" s="13"/>
    </row>
    <row r="865" hidden="1" outlineLevel="1">
      <c r="A865" s="43"/>
      <c r="B865" s="13"/>
      <c r="C865" s="13"/>
    </row>
    <row r="866" hidden="1" outlineLevel="1">
      <c r="A866" s="43"/>
      <c r="B866" s="13"/>
      <c r="C866" s="13"/>
    </row>
    <row r="867" hidden="1" outlineLevel="1">
      <c r="A867" s="43"/>
      <c r="B867" s="13"/>
      <c r="C867" s="13"/>
    </row>
    <row r="868" hidden="1" outlineLevel="1">
      <c r="A868" s="43"/>
      <c r="B868" s="13"/>
      <c r="C868" s="13"/>
    </row>
    <row r="869" hidden="1" outlineLevel="1">
      <c r="A869" s="43"/>
      <c r="B869" s="13"/>
      <c r="C869" s="13"/>
    </row>
    <row r="870" hidden="1" outlineLevel="1">
      <c r="A870" s="43"/>
      <c r="B870" s="13"/>
      <c r="C870" s="13"/>
    </row>
    <row r="871" hidden="1" outlineLevel="1">
      <c r="A871" s="43"/>
      <c r="B871" s="13"/>
      <c r="C871" s="13"/>
    </row>
    <row r="872" hidden="1" outlineLevel="1">
      <c r="A872" s="43"/>
      <c r="B872" s="13"/>
      <c r="C872" s="13"/>
    </row>
    <row r="873" hidden="1" outlineLevel="1">
      <c r="A873" s="43"/>
      <c r="B873" s="13"/>
      <c r="C873" s="13"/>
    </row>
    <row r="874" hidden="1" outlineLevel="1">
      <c r="A874" s="43"/>
      <c r="B874" s="13"/>
      <c r="C874" s="13"/>
    </row>
    <row r="875" hidden="1" outlineLevel="1">
      <c r="A875" s="43"/>
      <c r="B875" s="13"/>
      <c r="C875" s="13"/>
    </row>
    <row r="876" hidden="1" outlineLevel="1">
      <c r="A876" s="43"/>
      <c r="B876" s="13"/>
      <c r="C876" s="13"/>
    </row>
    <row r="877" hidden="1" outlineLevel="1">
      <c r="A877" s="43"/>
      <c r="B877" s="13"/>
      <c r="C877" s="13"/>
    </row>
    <row r="878" hidden="1" outlineLevel="1">
      <c r="A878" s="43"/>
      <c r="B878" s="13"/>
      <c r="C878" s="13"/>
    </row>
    <row r="879" hidden="1" outlineLevel="1">
      <c r="A879" s="43"/>
      <c r="B879" s="13"/>
      <c r="C879" s="13"/>
    </row>
    <row r="880" hidden="1" outlineLevel="1">
      <c r="A880" s="43"/>
      <c r="B880" s="13"/>
      <c r="C880" s="13"/>
    </row>
    <row r="881" hidden="1" outlineLevel="1">
      <c r="A881" s="43"/>
      <c r="B881" s="13"/>
      <c r="C881" s="13"/>
    </row>
    <row r="882" hidden="1" outlineLevel="1">
      <c r="A882" s="43"/>
      <c r="B882" s="13"/>
      <c r="C882" s="13"/>
    </row>
    <row r="883" hidden="1" outlineLevel="1">
      <c r="A883" s="43"/>
      <c r="B883" s="13"/>
      <c r="C883" s="13"/>
    </row>
    <row r="884" hidden="1" outlineLevel="1">
      <c r="A884" s="43"/>
      <c r="B884" s="13"/>
      <c r="C884" s="13"/>
    </row>
    <row r="885" hidden="1" outlineLevel="1">
      <c r="A885" s="43"/>
      <c r="B885" s="13"/>
      <c r="C885" s="13"/>
    </row>
    <row r="886" hidden="1" outlineLevel="1">
      <c r="A886" s="43"/>
      <c r="B886" s="13"/>
      <c r="C886" s="13"/>
    </row>
    <row r="887" hidden="1" outlineLevel="1">
      <c r="A887" s="43"/>
      <c r="B887" s="13"/>
      <c r="C887" s="13"/>
    </row>
    <row r="888" hidden="1" outlineLevel="1">
      <c r="A888" s="43"/>
      <c r="B888" s="13"/>
      <c r="C888" s="13"/>
    </row>
    <row r="889" hidden="1" outlineLevel="1">
      <c r="A889" s="43"/>
      <c r="B889" s="13"/>
      <c r="C889" s="13"/>
    </row>
    <row r="890" hidden="1" outlineLevel="1">
      <c r="A890" s="43"/>
      <c r="B890" s="13"/>
      <c r="C890" s="13"/>
    </row>
    <row r="891" hidden="1" outlineLevel="1">
      <c r="A891" s="43"/>
      <c r="B891" s="13"/>
      <c r="C891" s="13"/>
    </row>
    <row r="892" hidden="1" outlineLevel="1">
      <c r="A892" s="43"/>
      <c r="B892" s="13"/>
      <c r="C892" s="13"/>
    </row>
    <row r="893" hidden="1" outlineLevel="1">
      <c r="A893" s="43"/>
      <c r="B893" s="13"/>
      <c r="C893" s="13"/>
    </row>
    <row r="894" hidden="1" outlineLevel="1">
      <c r="A894" s="43"/>
      <c r="B894" s="13"/>
      <c r="C894" s="13"/>
    </row>
    <row r="895" hidden="1" outlineLevel="1">
      <c r="A895" s="43"/>
      <c r="B895" s="13"/>
      <c r="C895" s="13"/>
    </row>
    <row r="896" hidden="1" outlineLevel="1">
      <c r="A896" s="43"/>
      <c r="B896" s="13"/>
      <c r="C896" s="13"/>
    </row>
    <row r="897" hidden="1" outlineLevel="1">
      <c r="A897" s="43"/>
      <c r="B897" s="13"/>
      <c r="C897" s="13"/>
    </row>
    <row r="898" hidden="1" outlineLevel="1">
      <c r="A898" s="43"/>
      <c r="B898" s="13"/>
      <c r="C898" s="13"/>
    </row>
    <row r="899" hidden="1" outlineLevel="1">
      <c r="A899" s="43"/>
      <c r="B899" s="13"/>
      <c r="C899" s="13"/>
    </row>
    <row r="900" hidden="1" outlineLevel="1">
      <c r="A900" s="43"/>
      <c r="B900" s="13"/>
      <c r="C900" s="13"/>
    </row>
    <row r="901" hidden="1" outlineLevel="1">
      <c r="A901" s="43"/>
      <c r="B901" s="13"/>
      <c r="C901" s="13"/>
    </row>
    <row r="902" hidden="1" outlineLevel="1">
      <c r="A902" s="43"/>
      <c r="B902" s="13"/>
      <c r="C902" s="13"/>
    </row>
    <row r="903" hidden="1" outlineLevel="1">
      <c r="A903" s="43"/>
      <c r="B903" s="13"/>
      <c r="C903" s="13"/>
    </row>
    <row r="904" hidden="1" outlineLevel="1">
      <c r="A904" s="43"/>
      <c r="B904" s="13"/>
      <c r="C904" s="13"/>
    </row>
    <row r="905" hidden="1" outlineLevel="1">
      <c r="A905" s="43"/>
      <c r="B905" s="13"/>
      <c r="C905" s="13"/>
    </row>
    <row r="906" hidden="1" outlineLevel="1">
      <c r="A906" s="43"/>
      <c r="B906" s="13"/>
      <c r="C906" s="13"/>
    </row>
    <row r="907" hidden="1" outlineLevel="1">
      <c r="A907" s="43"/>
      <c r="B907" s="13"/>
      <c r="C907" s="13"/>
    </row>
    <row r="908" hidden="1" outlineLevel="1">
      <c r="A908" s="43"/>
      <c r="B908" s="13"/>
      <c r="C908" s="13"/>
    </row>
    <row r="909" hidden="1" outlineLevel="1">
      <c r="A909" s="43"/>
      <c r="B909" s="13"/>
      <c r="C909" s="13"/>
    </row>
    <row r="910" hidden="1" outlineLevel="1">
      <c r="A910" s="43"/>
      <c r="B910" s="13"/>
      <c r="C910" s="13"/>
    </row>
    <row r="911" hidden="1" outlineLevel="1">
      <c r="A911" s="43"/>
      <c r="B911" s="13"/>
      <c r="C911" s="13"/>
    </row>
    <row r="912" hidden="1" outlineLevel="1">
      <c r="A912" s="43"/>
      <c r="B912" s="13"/>
      <c r="C912" s="13"/>
    </row>
    <row r="913" hidden="1" outlineLevel="1">
      <c r="A913" s="43"/>
      <c r="B913" s="13"/>
      <c r="C913" s="13"/>
    </row>
    <row r="914" hidden="1" outlineLevel="1">
      <c r="A914" s="43"/>
      <c r="B914" s="13"/>
      <c r="C914" s="13"/>
    </row>
    <row r="915" hidden="1" outlineLevel="1">
      <c r="A915" s="43"/>
      <c r="B915" s="13"/>
      <c r="C915" s="13"/>
    </row>
    <row r="916" hidden="1" outlineLevel="1">
      <c r="A916" s="43"/>
      <c r="B916" s="13"/>
      <c r="C916" s="13"/>
    </row>
    <row r="917" hidden="1" outlineLevel="1">
      <c r="A917" s="43"/>
      <c r="B917" s="13"/>
      <c r="C917" s="13"/>
    </row>
    <row r="918" hidden="1" outlineLevel="1">
      <c r="A918" s="43"/>
      <c r="B918" s="13"/>
      <c r="C918" s="13"/>
    </row>
    <row r="919" hidden="1" outlineLevel="1">
      <c r="A919" s="43"/>
      <c r="B919" s="13"/>
      <c r="C919" s="13"/>
    </row>
    <row r="920" hidden="1" outlineLevel="1">
      <c r="A920" s="43"/>
      <c r="B920" s="13"/>
      <c r="C920" s="13"/>
    </row>
    <row r="921" hidden="1" outlineLevel="1">
      <c r="A921" s="43"/>
      <c r="B921" s="13"/>
      <c r="C921" s="13"/>
    </row>
    <row r="922" hidden="1" outlineLevel="1">
      <c r="A922" s="43"/>
      <c r="B922" s="13"/>
      <c r="C922" s="13"/>
    </row>
    <row r="923" hidden="1" outlineLevel="1">
      <c r="A923" s="43"/>
      <c r="B923" s="13"/>
      <c r="C923" s="13"/>
    </row>
    <row r="924" hidden="1" outlineLevel="1">
      <c r="A924" s="43"/>
      <c r="B924" s="13"/>
      <c r="C924" s="13"/>
    </row>
    <row r="925" hidden="1" outlineLevel="1">
      <c r="A925" s="43"/>
      <c r="B925" s="13"/>
      <c r="C925" s="13"/>
    </row>
    <row r="926" hidden="1" outlineLevel="1">
      <c r="A926" s="43"/>
      <c r="B926" s="13"/>
      <c r="C926" s="13"/>
    </row>
    <row r="927" hidden="1" outlineLevel="1">
      <c r="A927" s="43"/>
      <c r="B927" s="13"/>
      <c r="C927" s="13"/>
    </row>
    <row r="928" hidden="1" outlineLevel="1">
      <c r="A928" s="43"/>
      <c r="B928" s="13"/>
      <c r="C928" s="13"/>
    </row>
    <row r="929" hidden="1" outlineLevel="1">
      <c r="A929" s="43"/>
      <c r="B929" s="13"/>
      <c r="C929" s="13"/>
    </row>
    <row r="930" hidden="1" outlineLevel="1">
      <c r="A930" s="43"/>
      <c r="B930" s="13"/>
      <c r="C930" s="13"/>
    </row>
    <row r="931" hidden="1" outlineLevel="1">
      <c r="A931" s="43"/>
      <c r="B931" s="13"/>
      <c r="C931" s="13"/>
    </row>
    <row r="932" hidden="1" outlineLevel="1">
      <c r="A932" s="43"/>
      <c r="B932" s="13"/>
      <c r="C932" s="13"/>
    </row>
    <row r="933" hidden="1" outlineLevel="1">
      <c r="A933" s="43"/>
      <c r="B933" s="13"/>
      <c r="C933" s="13"/>
    </row>
    <row r="934" hidden="1" outlineLevel="1">
      <c r="A934" s="43"/>
      <c r="B934" s="13"/>
      <c r="C934" s="13"/>
    </row>
    <row r="935" hidden="1" outlineLevel="1">
      <c r="A935" s="43"/>
      <c r="B935" s="13"/>
      <c r="C935" s="13"/>
    </row>
    <row r="936" hidden="1" outlineLevel="1">
      <c r="A936" s="43"/>
      <c r="B936" s="13"/>
      <c r="C936" s="13"/>
    </row>
    <row r="937" hidden="1" outlineLevel="1">
      <c r="A937" s="43"/>
      <c r="B937" s="13"/>
      <c r="C937" s="13"/>
    </row>
    <row r="938" hidden="1" outlineLevel="1">
      <c r="A938" s="43"/>
      <c r="B938" s="13"/>
      <c r="C938" s="13"/>
    </row>
    <row r="939" hidden="1" outlineLevel="1">
      <c r="A939" s="43"/>
      <c r="B939" s="13"/>
      <c r="C939" s="13"/>
    </row>
    <row r="940" hidden="1" outlineLevel="1">
      <c r="A940" s="43"/>
      <c r="B940" s="13"/>
      <c r="C940" s="13"/>
    </row>
    <row r="941" hidden="1" outlineLevel="1">
      <c r="A941" s="43"/>
      <c r="B941" s="13"/>
      <c r="C941" s="13"/>
    </row>
    <row r="942" hidden="1" outlineLevel="1">
      <c r="A942" s="43"/>
      <c r="B942" s="13"/>
      <c r="C942" s="13"/>
    </row>
    <row r="943" hidden="1" outlineLevel="1">
      <c r="A943" s="43"/>
      <c r="B943" s="13"/>
      <c r="C943" s="13"/>
    </row>
    <row r="944" hidden="1" outlineLevel="1">
      <c r="A944" s="43"/>
      <c r="B944" s="13"/>
      <c r="C944" s="13"/>
    </row>
    <row r="945" hidden="1" outlineLevel="1">
      <c r="A945" s="43"/>
      <c r="B945" s="13"/>
      <c r="C945" s="13"/>
    </row>
    <row r="946" hidden="1" outlineLevel="1">
      <c r="A946" s="43"/>
      <c r="B946" s="13"/>
      <c r="C946" s="13"/>
    </row>
    <row r="947" hidden="1" outlineLevel="1">
      <c r="A947" s="43"/>
      <c r="B947" s="13"/>
      <c r="C947" s="13"/>
    </row>
    <row r="948" hidden="1" outlineLevel="1">
      <c r="A948" s="43"/>
      <c r="B948" s="13"/>
      <c r="C948" s="13"/>
    </row>
    <row r="949" hidden="1" outlineLevel="1">
      <c r="A949" s="43"/>
      <c r="B949" s="13"/>
      <c r="C949" s="13"/>
    </row>
    <row r="950" hidden="1" outlineLevel="1">
      <c r="A950" s="43"/>
      <c r="B950" s="13"/>
      <c r="C950" s="13"/>
    </row>
    <row r="951" hidden="1" outlineLevel="1">
      <c r="A951" s="43"/>
      <c r="B951" s="13"/>
      <c r="C951" s="13"/>
    </row>
    <row r="952" hidden="1" outlineLevel="1">
      <c r="A952" s="43"/>
      <c r="B952" s="13"/>
      <c r="C952" s="13"/>
    </row>
    <row r="953" hidden="1" outlineLevel="1">
      <c r="A953" s="43"/>
      <c r="B953" s="13"/>
      <c r="C953" s="13"/>
    </row>
    <row r="954" hidden="1" outlineLevel="1">
      <c r="A954" s="43"/>
      <c r="B954" s="13"/>
      <c r="C954" s="13"/>
    </row>
    <row r="955" hidden="1" outlineLevel="1">
      <c r="A955" s="43"/>
      <c r="B955" s="13"/>
      <c r="C955" s="13"/>
    </row>
    <row r="956" hidden="1" outlineLevel="1">
      <c r="A956" s="43"/>
      <c r="B956" s="13"/>
      <c r="C956" s="13"/>
    </row>
    <row r="957" hidden="1" outlineLevel="1">
      <c r="A957" s="43"/>
      <c r="B957" s="13"/>
      <c r="C957" s="13"/>
    </row>
    <row r="958" hidden="1" outlineLevel="1">
      <c r="A958" s="43"/>
      <c r="B958" s="13"/>
      <c r="C958" s="13"/>
    </row>
    <row r="959" hidden="1" outlineLevel="1">
      <c r="A959" s="43"/>
      <c r="B959" s="13"/>
      <c r="C959" s="13"/>
    </row>
    <row r="960" hidden="1" outlineLevel="1">
      <c r="A960" s="43"/>
      <c r="B960" s="13"/>
      <c r="C960" s="13"/>
    </row>
    <row r="961" hidden="1" outlineLevel="1">
      <c r="A961" s="43"/>
      <c r="B961" s="13"/>
      <c r="C961" s="13"/>
    </row>
    <row r="962" hidden="1" outlineLevel="1">
      <c r="A962" s="43"/>
      <c r="B962" s="13"/>
      <c r="C962" s="13"/>
    </row>
    <row r="963" hidden="1" outlineLevel="1">
      <c r="A963" s="43"/>
      <c r="B963" s="13"/>
      <c r="C963" s="13"/>
    </row>
    <row r="964" hidden="1" outlineLevel="1">
      <c r="A964" s="43"/>
      <c r="B964" s="13"/>
      <c r="C964" s="13"/>
    </row>
    <row r="965" hidden="1" outlineLevel="1">
      <c r="A965" s="43"/>
      <c r="B965" s="13"/>
      <c r="C965" s="13"/>
    </row>
    <row r="966" hidden="1" outlineLevel="1">
      <c r="A966" s="43"/>
      <c r="B966" s="13"/>
      <c r="C966" s="13"/>
    </row>
    <row r="967" hidden="1" outlineLevel="1">
      <c r="A967" s="43"/>
      <c r="B967" s="13"/>
      <c r="C967" s="13"/>
    </row>
    <row r="968" hidden="1" outlineLevel="1">
      <c r="A968" s="43"/>
      <c r="B968" s="13"/>
      <c r="C968" s="13"/>
    </row>
    <row r="969" hidden="1" outlineLevel="1">
      <c r="A969" s="43"/>
      <c r="B969" s="13"/>
      <c r="C969" s="13"/>
    </row>
    <row r="970" hidden="1" outlineLevel="1">
      <c r="A970" s="43"/>
      <c r="B970" s="13"/>
      <c r="C970" s="13"/>
    </row>
    <row r="971" hidden="1" outlineLevel="1">
      <c r="A971" s="43"/>
      <c r="B971" s="13"/>
      <c r="C971" s="13"/>
    </row>
    <row r="972" hidden="1" outlineLevel="1">
      <c r="A972" s="43"/>
      <c r="B972" s="13"/>
      <c r="C972" s="13"/>
    </row>
    <row r="973" hidden="1" outlineLevel="1">
      <c r="A973" s="43"/>
      <c r="B973" s="13"/>
      <c r="C973" s="13"/>
    </row>
    <row r="974" hidden="1" outlineLevel="1">
      <c r="A974" s="43"/>
      <c r="B974" s="13"/>
      <c r="C974" s="13"/>
    </row>
    <row r="975" hidden="1" outlineLevel="1">
      <c r="A975" s="43"/>
      <c r="B975" s="13"/>
      <c r="C975" s="13"/>
    </row>
    <row r="976" hidden="1" outlineLevel="1">
      <c r="A976" s="43"/>
      <c r="B976" s="13"/>
      <c r="C976" s="13"/>
    </row>
    <row r="977" hidden="1" outlineLevel="1">
      <c r="A977" s="43"/>
      <c r="B977" s="13"/>
      <c r="C977" s="13"/>
    </row>
    <row r="978" hidden="1" outlineLevel="1">
      <c r="A978" s="43"/>
      <c r="B978" s="13"/>
      <c r="C978" s="13"/>
    </row>
    <row r="979" hidden="1" outlineLevel="1">
      <c r="A979" s="43"/>
      <c r="B979" s="13"/>
      <c r="C979" s="13"/>
    </row>
    <row r="980" hidden="1" outlineLevel="1">
      <c r="A980" s="43"/>
      <c r="B980" s="13"/>
      <c r="C980" s="13"/>
    </row>
    <row r="981" hidden="1" outlineLevel="1">
      <c r="A981" s="43"/>
      <c r="B981" s="13"/>
      <c r="C981" s="13"/>
    </row>
    <row r="982" hidden="1" outlineLevel="1">
      <c r="A982" s="43"/>
      <c r="B982" s="13"/>
      <c r="C982" s="13"/>
    </row>
    <row r="983" hidden="1" outlineLevel="1">
      <c r="A983" s="43"/>
      <c r="B983" s="13"/>
      <c r="C983" s="13"/>
    </row>
    <row r="984" hidden="1" outlineLevel="1">
      <c r="A984" s="43"/>
      <c r="B984" s="13"/>
      <c r="C984" s="13"/>
    </row>
    <row r="985" hidden="1" outlineLevel="1">
      <c r="A985" s="43"/>
      <c r="B985" s="13"/>
      <c r="C985" s="13"/>
    </row>
    <row r="986" hidden="1" outlineLevel="1">
      <c r="A986" s="43"/>
      <c r="B986" s="13"/>
      <c r="C986" s="13"/>
    </row>
    <row r="987" hidden="1" outlineLevel="1">
      <c r="A987" s="43"/>
      <c r="B987" s="13"/>
      <c r="C987" s="13"/>
    </row>
    <row r="988" hidden="1" outlineLevel="1">
      <c r="A988" s="43"/>
      <c r="B988" s="13"/>
      <c r="C988" s="13"/>
    </row>
    <row r="989" hidden="1" outlineLevel="1">
      <c r="A989" s="43"/>
      <c r="B989" s="13"/>
      <c r="C989" s="13"/>
    </row>
    <row r="990" hidden="1" outlineLevel="1">
      <c r="A990" s="43"/>
      <c r="B990" s="13"/>
      <c r="C990" s="13"/>
    </row>
    <row r="991" hidden="1" outlineLevel="1">
      <c r="A991" s="43"/>
      <c r="B991" s="13"/>
      <c r="C991" s="13"/>
    </row>
    <row r="992" hidden="1" outlineLevel="1">
      <c r="A992" s="43"/>
      <c r="B992" s="13"/>
      <c r="C992" s="13"/>
    </row>
    <row r="993" hidden="1" outlineLevel="1">
      <c r="A993" s="43"/>
      <c r="B993" s="13"/>
      <c r="C993" s="13"/>
    </row>
    <row r="994" hidden="1" outlineLevel="1">
      <c r="A994" s="43"/>
      <c r="B994" s="13"/>
      <c r="C994" s="13"/>
    </row>
    <row r="995" hidden="1" outlineLevel="1">
      <c r="A995" s="43"/>
      <c r="B995" s="13"/>
      <c r="C995" s="13"/>
    </row>
    <row r="996" hidden="1" outlineLevel="1">
      <c r="A996" s="43"/>
      <c r="B996" s="13"/>
      <c r="C996" s="13"/>
    </row>
    <row r="997" hidden="1" outlineLevel="1">
      <c r="A997" s="43"/>
      <c r="B997" s="13"/>
      <c r="C997" s="13"/>
    </row>
    <row r="998" hidden="1" outlineLevel="1">
      <c r="A998" s="43"/>
      <c r="B998" s="13"/>
      <c r="C998" s="13"/>
    </row>
    <row r="999" hidden="1" outlineLevel="1">
      <c r="A999" s="43"/>
      <c r="B999" s="13"/>
      <c r="C999" s="13"/>
    </row>
    <row r="1000" hidden="1" outlineLevel="1">
      <c r="A1000" s="43"/>
      <c r="B1000" s="13"/>
      <c r="C1000" s="13"/>
    </row>
    <row r="1001" hidden="1" outlineLevel="1">
      <c r="A1001" s="43"/>
      <c r="B1001" s="13"/>
      <c r="C1001" s="13"/>
    </row>
    <row r="1002" hidden="1" outlineLevel="1">
      <c r="A1002" s="43"/>
      <c r="B1002" s="13"/>
      <c r="C1002" s="13"/>
    </row>
    <row r="1003" hidden="1" outlineLevel="1">
      <c r="A1003" s="43"/>
      <c r="B1003" s="13"/>
      <c r="C1003" s="13"/>
    </row>
    <row r="1004" hidden="1" outlineLevel="1">
      <c r="A1004" s="43"/>
      <c r="B1004" s="13"/>
      <c r="C1004" s="13"/>
    </row>
    <row r="1005" hidden="1" outlineLevel="1">
      <c r="A1005" s="43"/>
      <c r="B1005" s="13"/>
      <c r="C1005" s="13"/>
    </row>
    <row r="1006" hidden="1" outlineLevel="1">
      <c r="A1006" s="43"/>
      <c r="B1006" s="13"/>
      <c r="C1006" s="13"/>
    </row>
    <row r="1007" hidden="1" outlineLevel="1">
      <c r="A1007" s="43"/>
      <c r="B1007" s="13"/>
      <c r="C1007" s="13"/>
    </row>
    <row r="1008" hidden="1" outlineLevel="1">
      <c r="A1008" s="43"/>
      <c r="B1008" s="13"/>
      <c r="C1008" s="13"/>
    </row>
    <row r="1009" hidden="1" outlineLevel="1">
      <c r="A1009" s="43"/>
      <c r="B1009" s="13"/>
      <c r="C1009" s="13"/>
    </row>
    <row r="1010" hidden="1" outlineLevel="1">
      <c r="A1010" s="43"/>
      <c r="B1010" s="13"/>
      <c r="C1010" s="13"/>
    </row>
    <row r="1011" hidden="1" outlineLevel="1">
      <c r="A1011" s="43"/>
      <c r="B1011" s="13"/>
      <c r="C1011" s="13"/>
    </row>
    <row r="1012" hidden="1" outlineLevel="1">
      <c r="A1012" s="43"/>
      <c r="B1012" s="13"/>
      <c r="C1012" s="13"/>
    </row>
    <row r="1013" hidden="1" outlineLevel="1">
      <c r="A1013" s="43"/>
      <c r="B1013" s="13"/>
      <c r="C1013" s="13"/>
    </row>
    <row r="1014" hidden="1" outlineLevel="1">
      <c r="A1014" s="43"/>
      <c r="B1014" s="13"/>
      <c r="C1014" s="13"/>
    </row>
    <row r="1015" hidden="1" outlineLevel="1">
      <c r="A1015" s="43"/>
      <c r="B1015" s="13"/>
      <c r="C1015" s="13"/>
    </row>
    <row r="1016" hidden="1" outlineLevel="1">
      <c r="A1016" s="43"/>
      <c r="B1016" s="13"/>
      <c r="C1016" s="13"/>
    </row>
    <row r="1017" hidden="1" outlineLevel="1">
      <c r="A1017" s="43"/>
      <c r="B1017" s="13"/>
      <c r="C1017" s="13"/>
    </row>
    <row r="1018" hidden="1" outlineLevel="1">
      <c r="A1018" s="43"/>
      <c r="B1018" s="13"/>
      <c r="C1018" s="13"/>
    </row>
    <row r="1019" hidden="1" outlineLevel="1">
      <c r="A1019" s="43"/>
      <c r="B1019" s="13"/>
      <c r="C1019" s="13"/>
    </row>
    <row r="1020" hidden="1" outlineLevel="1">
      <c r="A1020" s="43"/>
      <c r="B1020" s="13"/>
      <c r="C1020" s="13"/>
    </row>
    <row r="1021" hidden="1" outlineLevel="1">
      <c r="A1021" s="43"/>
      <c r="B1021" s="13"/>
      <c r="C1021" s="13"/>
    </row>
    <row r="1022" hidden="1" outlineLevel="1">
      <c r="A1022" s="43"/>
      <c r="B1022" s="13"/>
      <c r="C1022" s="13"/>
    </row>
    <row r="1023" hidden="1" outlineLevel="1">
      <c r="A1023" s="43"/>
      <c r="B1023" s="13"/>
      <c r="C1023" s="13"/>
    </row>
    <row r="1024" hidden="1" outlineLevel="1">
      <c r="A1024" s="43"/>
      <c r="B1024" s="13"/>
      <c r="C1024" s="13"/>
    </row>
    <row r="1025" hidden="1" outlineLevel="1">
      <c r="A1025" s="43"/>
      <c r="B1025" s="13"/>
      <c r="C1025" s="13"/>
    </row>
    <row r="1026" hidden="1" outlineLevel="1">
      <c r="A1026" s="43"/>
      <c r="B1026" s="13"/>
      <c r="C1026" s="13"/>
    </row>
    <row r="1027" hidden="1" outlineLevel="1">
      <c r="A1027" s="43"/>
      <c r="B1027" s="13"/>
      <c r="C1027" s="13"/>
    </row>
    <row r="1028" hidden="1" outlineLevel="1">
      <c r="A1028" s="43"/>
      <c r="B1028" s="13"/>
      <c r="C1028" s="13"/>
    </row>
    <row r="1029" hidden="1" outlineLevel="1">
      <c r="A1029" s="43"/>
      <c r="B1029" s="13"/>
      <c r="C1029" s="13"/>
    </row>
    <row r="1030" hidden="1" outlineLevel="1">
      <c r="A1030" s="43"/>
      <c r="B1030" s="13"/>
      <c r="C1030" s="13"/>
    </row>
    <row r="1031" hidden="1" outlineLevel="1">
      <c r="A1031" s="43"/>
      <c r="B1031" s="13"/>
      <c r="C1031" s="13"/>
    </row>
    <row r="1032" hidden="1" outlineLevel="1">
      <c r="A1032" s="43"/>
      <c r="B1032" s="13"/>
      <c r="C1032" s="13"/>
    </row>
    <row r="1033" hidden="1" outlineLevel="1">
      <c r="A1033" s="43"/>
      <c r="B1033" s="13"/>
      <c r="C1033" s="13"/>
    </row>
    <row r="1034" hidden="1" outlineLevel="1">
      <c r="A1034" s="43"/>
      <c r="B1034" s="13"/>
      <c r="C1034" s="13"/>
    </row>
    <row r="1035" hidden="1" outlineLevel="1">
      <c r="A1035" s="43"/>
      <c r="B1035" s="13"/>
      <c r="C1035" s="13"/>
    </row>
    <row r="1036" hidden="1" outlineLevel="1">
      <c r="A1036" s="43"/>
      <c r="B1036" s="13"/>
      <c r="C1036" s="13"/>
    </row>
    <row r="1037" hidden="1" outlineLevel="1">
      <c r="A1037" s="43"/>
      <c r="B1037" s="13"/>
      <c r="C1037" s="13"/>
    </row>
    <row r="1038" hidden="1" outlineLevel="1">
      <c r="A1038" s="43"/>
      <c r="B1038" s="13"/>
      <c r="C1038" s="13"/>
    </row>
    <row r="1039" hidden="1" outlineLevel="1">
      <c r="A1039" s="43"/>
      <c r="B1039" s="13"/>
      <c r="C1039" s="13"/>
    </row>
    <row r="1040" hidden="1" outlineLevel="1">
      <c r="A1040" s="43"/>
      <c r="B1040" s="13"/>
      <c r="C1040" s="13"/>
    </row>
    <row r="1041" hidden="1" outlineLevel="1">
      <c r="A1041" s="43"/>
      <c r="B1041" s="13"/>
      <c r="C1041" s="13"/>
    </row>
    <row r="1042" hidden="1" outlineLevel="1">
      <c r="A1042" s="43"/>
      <c r="B1042" s="13"/>
      <c r="C1042" s="13"/>
    </row>
    <row r="1043" hidden="1" outlineLevel="1">
      <c r="A1043" s="43"/>
      <c r="B1043" s="13"/>
      <c r="C1043" s="13"/>
    </row>
    <row r="1044" hidden="1" outlineLevel="1">
      <c r="A1044" s="43"/>
      <c r="B1044" s="13"/>
      <c r="C1044" s="13"/>
    </row>
  </sheetData>
  <conditionalFormatting sqref="C10:C16 C24:C25 C39:C41">
    <cfRule type="cellIs" dxfId="3" priority="1" operator="greaterThan">
      <formula>50</formula>
    </cfRule>
  </conditionalFormatting>
  <hyperlinks>
    <hyperlink r:id="rId4" location="gid=227801128" ref="C5"/>
    <hyperlink r:id="rId5" location="gid=227801128" ref="C6"/>
  </hyperlinks>
  <printOptions horizontalCentered="1"/>
  <pageMargins bottom="0.75" footer="0.0" header="0.0" left="0.25" right="0.25" top="0.75"/>
  <pageSetup fitToHeight="0" orientation="landscape" pageOrder="overThenDown"/>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2.75" outlineLevelCol="1" outlineLevelRow="2"/>
  <cols>
    <col customWidth="1" min="1" max="1" width="42.63"/>
    <col customWidth="1" min="2" max="2" width="26.88"/>
    <col customWidth="1" min="3" max="3" width="28.88"/>
    <col customWidth="1" min="4" max="4" width="30.38"/>
    <col customWidth="1" min="5" max="5" width="15.75"/>
    <col customWidth="1" min="6" max="6" width="18.88"/>
    <col customWidth="1" min="7" max="7" width="26.13"/>
  </cols>
  <sheetData>
    <row r="1">
      <c r="A1" s="9" t="s">
        <v>7</v>
      </c>
    </row>
    <row r="2" ht="20.25" customHeight="1">
      <c r="A2" s="14" t="s">
        <v>9</v>
      </c>
    </row>
    <row r="3" ht="15.0" customHeight="1">
      <c r="A3" s="17"/>
      <c r="B3" s="22" t="s">
        <v>14</v>
      </c>
      <c r="C3" s="24"/>
      <c r="D3" s="22" t="s">
        <v>21</v>
      </c>
      <c r="E3" s="28"/>
      <c r="F3" s="24"/>
      <c r="G3" s="29" t="s">
        <v>25</v>
      </c>
    </row>
    <row r="4" ht="15.0" customHeight="1">
      <c r="A4" s="31" t="s">
        <v>26</v>
      </c>
      <c r="B4" s="28"/>
      <c r="C4" s="28"/>
      <c r="D4" s="28"/>
      <c r="E4" s="28"/>
      <c r="F4" s="28"/>
      <c r="G4" s="24"/>
    </row>
    <row r="5" ht="15.0" customHeight="1">
      <c r="A5" s="35" t="s">
        <v>30</v>
      </c>
      <c r="B5" s="40" t="s">
        <v>34</v>
      </c>
      <c r="C5" s="24"/>
      <c r="D5" s="55" t="s">
        <v>44</v>
      </c>
      <c r="E5" s="28"/>
      <c r="F5" s="24"/>
      <c r="G5" s="56" t="s">
        <v>20</v>
      </c>
    </row>
    <row r="6" ht="15.0" customHeight="1">
      <c r="A6" s="58" t="s">
        <v>92</v>
      </c>
      <c r="B6" s="64" t="s">
        <v>96</v>
      </c>
      <c r="C6" s="24"/>
      <c r="D6" s="66" t="s">
        <v>100</v>
      </c>
      <c r="E6" s="28"/>
      <c r="F6" s="24"/>
      <c r="G6" s="68" t="s">
        <v>77</v>
      </c>
    </row>
    <row r="7" ht="15.0" customHeight="1">
      <c r="A7" s="58" t="s">
        <v>79</v>
      </c>
      <c r="B7" s="77" t="s">
        <v>109</v>
      </c>
      <c r="C7" s="24"/>
      <c r="D7" s="80" t="s">
        <v>113</v>
      </c>
      <c r="E7" s="28"/>
      <c r="F7" s="24"/>
      <c r="G7" s="83" t="s">
        <v>20</v>
      </c>
    </row>
    <row r="8" ht="15.0" customHeight="1">
      <c r="A8" s="85" t="s">
        <v>120</v>
      </c>
      <c r="B8" s="77" t="s">
        <v>122</v>
      </c>
      <c r="C8" s="24"/>
      <c r="D8" s="80" t="s">
        <v>128</v>
      </c>
      <c r="E8" s="28"/>
      <c r="F8" s="24"/>
      <c r="G8" s="83" t="s">
        <v>20</v>
      </c>
    </row>
    <row r="9" ht="15.0" customHeight="1">
      <c r="A9" s="94" t="s">
        <v>129</v>
      </c>
      <c r="B9" s="96"/>
      <c r="C9" s="28"/>
      <c r="D9" s="96"/>
      <c r="E9" s="96"/>
      <c r="F9" s="96"/>
      <c r="G9" s="98"/>
    </row>
    <row r="10" ht="15.0" customHeight="1">
      <c r="A10" s="101" t="s">
        <v>133</v>
      </c>
      <c r="B10" s="40" t="s">
        <v>34</v>
      </c>
      <c r="C10" s="24"/>
      <c r="D10" s="55" t="s">
        <v>137</v>
      </c>
      <c r="E10" s="28"/>
      <c r="F10" s="24"/>
      <c r="G10" s="56" t="s">
        <v>20</v>
      </c>
    </row>
    <row r="11" ht="15.0" customHeight="1">
      <c r="A11" s="106" t="s">
        <v>92</v>
      </c>
      <c r="B11" s="64"/>
      <c r="C11" s="24"/>
      <c r="D11" s="66" t="s">
        <v>145</v>
      </c>
      <c r="E11" s="28"/>
      <c r="F11" s="24"/>
      <c r="G11" s="68" t="s">
        <v>77</v>
      </c>
    </row>
    <row r="12" ht="24.75" customHeight="1">
      <c r="A12" s="106" t="s">
        <v>148</v>
      </c>
      <c r="B12" s="113"/>
      <c r="C12" s="114"/>
      <c r="D12" s="117" t="s">
        <v>149</v>
      </c>
      <c r="E12" s="28"/>
      <c r="F12" s="24"/>
      <c r="G12" s="68" t="s">
        <v>77</v>
      </c>
    </row>
    <row r="13" ht="15.0" customHeight="1">
      <c r="A13" s="118" t="s">
        <v>153</v>
      </c>
      <c r="B13" s="119"/>
      <c r="C13" s="114"/>
      <c r="D13" s="121" t="s">
        <v>159</v>
      </c>
      <c r="E13" s="28"/>
      <c r="F13" s="24"/>
      <c r="G13" s="124" t="s">
        <v>77</v>
      </c>
    </row>
    <row r="14" ht="15.0" customHeight="1">
      <c r="A14" s="125" t="s">
        <v>162</v>
      </c>
      <c r="B14" s="113"/>
      <c r="C14" s="114"/>
      <c r="D14" s="127" t="s">
        <v>164</v>
      </c>
      <c r="E14" s="28"/>
      <c r="F14" s="24"/>
      <c r="G14" s="124" t="s">
        <v>77</v>
      </c>
    </row>
    <row r="15" ht="15.0" customHeight="1">
      <c r="A15" s="125" t="s">
        <v>167</v>
      </c>
      <c r="B15" s="113"/>
      <c r="C15" s="114"/>
      <c r="D15" s="127" t="s">
        <v>164</v>
      </c>
      <c r="E15" s="28"/>
      <c r="F15" s="24"/>
      <c r="G15" s="124" t="s">
        <v>77</v>
      </c>
    </row>
    <row r="16" ht="15.0" customHeight="1">
      <c r="A16" s="130" t="s">
        <v>169</v>
      </c>
      <c r="B16" s="135" t="s">
        <v>109</v>
      </c>
      <c r="C16" s="24"/>
      <c r="D16" s="80" t="s">
        <v>113</v>
      </c>
      <c r="E16" s="28"/>
      <c r="F16" s="24"/>
      <c r="G16" s="83" t="s">
        <v>20</v>
      </c>
    </row>
    <row r="17" ht="15.0" customHeight="1">
      <c r="A17" s="137" t="s">
        <v>175</v>
      </c>
      <c r="B17" s="141" t="s">
        <v>178</v>
      </c>
      <c r="C17" s="24"/>
      <c r="D17" s="80" t="s">
        <v>128</v>
      </c>
      <c r="E17" s="28"/>
      <c r="F17" s="24"/>
      <c r="G17" s="83" t="s">
        <v>20</v>
      </c>
    </row>
    <row r="18" ht="34.5" customHeight="1">
      <c r="A18" s="146" t="s">
        <v>181</v>
      </c>
      <c r="B18" s="148"/>
      <c r="C18" s="148"/>
      <c r="D18" s="148"/>
      <c r="E18" s="148"/>
      <c r="F18" s="148"/>
      <c r="G18" s="114"/>
    </row>
    <row r="19" ht="17.25" customHeight="1">
      <c r="A19" s="150"/>
      <c r="B19" s="151" t="s">
        <v>1</v>
      </c>
      <c r="C19" s="114"/>
      <c r="D19" s="152" t="s">
        <v>21</v>
      </c>
      <c r="E19" s="148"/>
      <c r="F19" s="114"/>
      <c r="G19" s="154" t="s">
        <v>4</v>
      </c>
    </row>
    <row r="20" ht="17.25" customHeight="1">
      <c r="A20" s="155" t="s">
        <v>188</v>
      </c>
      <c r="B20" s="156" t="s">
        <v>189</v>
      </c>
      <c r="C20" s="24"/>
      <c r="D20" s="157" t="s">
        <v>190</v>
      </c>
      <c r="E20" s="28"/>
      <c r="F20" s="24"/>
      <c r="G20" s="68" t="s">
        <v>77</v>
      </c>
    </row>
    <row r="21" ht="17.25" customHeight="1">
      <c r="A21" s="158" t="s">
        <v>193</v>
      </c>
      <c r="B21" s="156"/>
      <c r="C21" s="24"/>
      <c r="D21" s="157" t="s">
        <v>194</v>
      </c>
      <c r="E21" s="28"/>
      <c r="F21" s="24"/>
      <c r="G21" s="68" t="s">
        <v>77</v>
      </c>
    </row>
    <row r="22" ht="24.0" customHeight="1">
      <c r="A22" s="161" t="s">
        <v>195</v>
      </c>
      <c r="B22" s="28"/>
      <c r="C22" s="28"/>
      <c r="D22" s="28"/>
      <c r="E22" s="28"/>
      <c r="F22" s="28"/>
      <c r="G22" s="24"/>
    </row>
    <row r="23">
      <c r="A23" s="162" t="s">
        <v>196</v>
      </c>
      <c r="B23" s="163" t="s">
        <v>197</v>
      </c>
      <c r="C23" s="24"/>
      <c r="D23" s="164" t="s">
        <v>198</v>
      </c>
      <c r="E23" s="163" t="s">
        <v>21</v>
      </c>
      <c r="F23" s="24"/>
      <c r="G23" s="165" t="s">
        <v>4</v>
      </c>
    </row>
    <row r="24">
      <c r="A24" s="167" t="s">
        <v>199</v>
      </c>
      <c r="B24" s="28"/>
      <c r="C24" s="28"/>
      <c r="D24" s="28"/>
      <c r="E24" s="28"/>
      <c r="F24" s="28"/>
      <c r="G24" s="24"/>
    </row>
    <row r="25">
      <c r="A25" s="169" t="s">
        <v>201</v>
      </c>
      <c r="B25" s="170" t="s">
        <v>202</v>
      </c>
      <c r="C25" s="24"/>
      <c r="D25" s="171"/>
      <c r="E25" s="173" t="s">
        <v>204</v>
      </c>
      <c r="F25" s="24"/>
      <c r="G25" s="174" t="s">
        <v>205</v>
      </c>
    </row>
    <row r="26">
      <c r="A26" s="175" t="s">
        <v>206</v>
      </c>
      <c r="B26" s="177" t="s">
        <v>207</v>
      </c>
      <c r="C26" s="24"/>
      <c r="D26" s="178"/>
      <c r="E26" s="179"/>
      <c r="F26" s="24"/>
      <c r="G26" s="180" t="s">
        <v>77</v>
      </c>
    </row>
    <row r="27">
      <c r="A27" s="175" t="s">
        <v>208</v>
      </c>
      <c r="B27" s="185" t="s">
        <v>210</v>
      </c>
      <c r="C27" s="24"/>
      <c r="D27" s="178"/>
      <c r="E27" s="179"/>
      <c r="F27" s="24"/>
      <c r="G27" s="180" t="s">
        <v>77</v>
      </c>
    </row>
    <row r="28">
      <c r="A28" s="175"/>
      <c r="B28" s="188"/>
      <c r="C28" s="24"/>
      <c r="D28" s="178"/>
      <c r="E28" s="179"/>
      <c r="F28" s="24"/>
      <c r="G28" s="180" t="s">
        <v>77</v>
      </c>
    </row>
    <row r="29">
      <c r="A29" s="191" t="s">
        <v>215</v>
      </c>
      <c r="B29" s="28"/>
      <c r="C29" s="28"/>
      <c r="D29" s="28"/>
      <c r="E29" s="28"/>
      <c r="F29" s="28"/>
      <c r="G29" s="24"/>
    </row>
    <row r="30">
      <c r="A30" s="192" t="s">
        <v>218</v>
      </c>
      <c r="B30" s="195" t="s">
        <v>219</v>
      </c>
      <c r="C30" s="114"/>
      <c r="D30" s="178"/>
      <c r="E30" s="179"/>
      <c r="F30" s="24"/>
      <c r="G30" s="180" t="s">
        <v>77</v>
      </c>
    </row>
    <row r="31">
      <c r="A31" s="175" t="s">
        <v>224</v>
      </c>
      <c r="B31" s="185" t="s">
        <v>225</v>
      </c>
      <c r="C31" s="24"/>
      <c r="D31" s="178"/>
      <c r="E31" s="179"/>
      <c r="F31" s="24"/>
      <c r="G31" s="180" t="s">
        <v>77</v>
      </c>
    </row>
    <row r="32">
      <c r="A32" s="198"/>
      <c r="B32" s="199"/>
      <c r="C32" s="24"/>
      <c r="D32" s="200"/>
      <c r="E32" s="179"/>
      <c r="F32" s="24"/>
      <c r="G32" s="180" t="s">
        <v>77</v>
      </c>
    </row>
    <row r="33" hidden="1">
      <c r="A33" s="201" t="s">
        <v>231</v>
      </c>
      <c r="B33" s="28"/>
      <c r="C33" s="28"/>
      <c r="D33" s="28"/>
      <c r="E33" s="28"/>
      <c r="F33" s="28"/>
      <c r="G33" s="24"/>
    </row>
    <row r="34" hidden="1">
      <c r="A34" s="204" t="s">
        <v>233</v>
      </c>
      <c r="B34" s="206" t="str">
        <f>'Production Details'!B22</f>
        <v>https://oneclick.interactive.genentech.com/?ProfileId=&lt;%= recipient.VariableField %&gt;&amp;BrandId=&amp;c=&lt;%= message.delivery.tacticCode %&gt;</v>
      </c>
      <c r="C34" s="114"/>
      <c r="D34" s="208"/>
      <c r="E34" s="209" t="s">
        <v>236</v>
      </c>
      <c r="F34" s="24"/>
      <c r="G34" s="210" t="s">
        <v>20</v>
      </c>
    </row>
    <row r="35" hidden="1">
      <c r="A35" s="212" t="s">
        <v>237</v>
      </c>
      <c r="B35" s="213" t="s">
        <v>237</v>
      </c>
      <c r="C35" s="24"/>
      <c r="D35" s="208"/>
      <c r="E35" s="209" t="s">
        <v>236</v>
      </c>
      <c r="F35" s="24"/>
      <c r="G35" s="210" t="s">
        <v>20</v>
      </c>
    </row>
    <row r="36">
      <c r="A36" s="191" t="s">
        <v>243</v>
      </c>
      <c r="B36" s="28"/>
      <c r="C36" s="28"/>
      <c r="D36" s="28"/>
      <c r="E36" s="28"/>
      <c r="F36" s="28"/>
      <c r="G36" s="24"/>
    </row>
    <row r="37" ht="20.25" customHeight="1">
      <c r="A37" s="192" t="s">
        <v>244</v>
      </c>
      <c r="B37" s="214" t="s">
        <v>246</v>
      </c>
      <c r="C37" s="24"/>
      <c r="D37" s="178"/>
      <c r="E37" s="179"/>
      <c r="F37" s="24"/>
      <c r="G37" s="180" t="s">
        <v>77</v>
      </c>
    </row>
    <row r="38">
      <c r="A38" s="216" t="s">
        <v>247</v>
      </c>
      <c r="B38" s="188" t="s">
        <v>248</v>
      </c>
      <c r="C38" s="24"/>
      <c r="D38" s="178"/>
      <c r="E38" s="179"/>
      <c r="F38" s="24"/>
      <c r="G38" s="180" t="s">
        <v>77</v>
      </c>
    </row>
    <row r="39">
      <c r="A39" s="216" t="s">
        <v>249</v>
      </c>
      <c r="B39" s="188" t="s">
        <v>250</v>
      </c>
      <c r="C39" s="24"/>
      <c r="D39" s="178"/>
      <c r="E39" s="179"/>
      <c r="F39" s="24"/>
      <c r="G39" s="180" t="s">
        <v>77</v>
      </c>
    </row>
    <row r="40">
      <c r="A40" s="216" t="s">
        <v>251</v>
      </c>
      <c r="B40" s="188" t="s">
        <v>210</v>
      </c>
      <c r="C40" s="24"/>
      <c r="D40" s="178"/>
      <c r="E40" s="179"/>
      <c r="F40" s="24"/>
      <c r="G40" s="180"/>
    </row>
    <row r="41" ht="24.0" customHeight="1">
      <c r="A41" s="192" t="s">
        <v>244</v>
      </c>
      <c r="B41" s="188" t="s">
        <v>252</v>
      </c>
      <c r="C41" s="24"/>
      <c r="D41" s="178"/>
      <c r="E41" s="179"/>
      <c r="F41" s="24"/>
      <c r="G41" s="180"/>
    </row>
    <row r="42">
      <c r="A42" s="216" t="s">
        <v>247</v>
      </c>
      <c r="B42" s="188" t="s">
        <v>248</v>
      </c>
      <c r="C42" s="24"/>
      <c r="D42" s="178"/>
      <c r="E42" s="179"/>
      <c r="F42" s="24"/>
      <c r="G42" s="180"/>
    </row>
    <row r="43">
      <c r="A43" s="216" t="s">
        <v>249</v>
      </c>
      <c r="B43" s="188" t="s">
        <v>250</v>
      </c>
      <c r="C43" s="24"/>
      <c r="D43" s="178"/>
      <c r="E43" s="179"/>
      <c r="F43" s="24"/>
      <c r="G43" s="180"/>
    </row>
    <row r="44">
      <c r="A44" s="216" t="s">
        <v>251</v>
      </c>
      <c r="B44" s="185" t="s">
        <v>207</v>
      </c>
      <c r="C44" s="24"/>
      <c r="D44" s="178"/>
      <c r="E44" s="179"/>
      <c r="F44" s="24"/>
      <c r="G44" s="180"/>
    </row>
    <row r="45">
      <c r="A45" s="219"/>
      <c r="B45" s="219"/>
      <c r="C45" s="219"/>
      <c r="D45" s="219"/>
      <c r="E45" s="219"/>
      <c r="F45" s="219"/>
      <c r="G45" s="219"/>
    </row>
    <row r="46">
      <c r="A46" s="216"/>
      <c r="B46" s="188"/>
      <c r="C46" s="24"/>
      <c r="D46" s="200"/>
      <c r="E46" s="179"/>
      <c r="F46" s="24"/>
      <c r="G46" s="180" t="s">
        <v>77</v>
      </c>
    </row>
    <row r="47">
      <c r="A47" s="216"/>
      <c r="B47" s="188"/>
      <c r="C47" s="24"/>
      <c r="D47" s="200"/>
      <c r="E47" s="179"/>
      <c r="F47" s="24"/>
      <c r="G47" s="180" t="s">
        <v>77</v>
      </c>
    </row>
    <row r="48">
      <c r="A48" s="191" t="s">
        <v>254</v>
      </c>
      <c r="B48" s="28"/>
      <c r="C48" s="28"/>
      <c r="D48" s="28"/>
      <c r="E48" s="28"/>
      <c r="F48" s="28"/>
      <c r="G48" s="24"/>
    </row>
    <row r="49">
      <c r="A49" s="198" t="s">
        <v>255</v>
      </c>
      <c r="B49" s="220" t="s">
        <v>237</v>
      </c>
      <c r="C49" s="24"/>
      <c r="D49" s="178"/>
      <c r="E49" s="209" t="s">
        <v>204</v>
      </c>
      <c r="F49" s="24"/>
      <c r="G49" s="83" t="s">
        <v>20</v>
      </c>
    </row>
    <row r="50">
      <c r="A50" s="216" t="s">
        <v>256</v>
      </c>
      <c r="B50" s="220" t="s">
        <v>257</v>
      </c>
      <c r="C50" s="24"/>
      <c r="D50" s="178"/>
      <c r="E50" s="209" t="s">
        <v>204</v>
      </c>
      <c r="F50" s="24"/>
      <c r="G50" s="83" t="s">
        <v>20</v>
      </c>
    </row>
    <row r="51">
      <c r="A51" s="221" t="s">
        <v>258</v>
      </c>
      <c r="B51" s="220" t="s">
        <v>259</v>
      </c>
      <c r="C51" s="24"/>
      <c r="D51" s="178"/>
      <c r="E51" s="209" t="s">
        <v>204</v>
      </c>
      <c r="F51" s="24"/>
      <c r="G51" s="83" t="s">
        <v>20</v>
      </c>
    </row>
    <row r="52">
      <c r="A52" s="222" t="s">
        <v>260</v>
      </c>
      <c r="B52" s="223" t="s">
        <v>261</v>
      </c>
      <c r="C52" s="24"/>
      <c r="D52" s="225" t="s">
        <v>263</v>
      </c>
      <c r="E52" s="209" t="s">
        <v>204</v>
      </c>
      <c r="F52" s="24"/>
      <c r="G52" s="227" t="s">
        <v>265</v>
      </c>
    </row>
    <row r="53">
      <c r="A53" s="222" t="s">
        <v>266</v>
      </c>
      <c r="B53" s="233" t="s">
        <v>267</v>
      </c>
      <c r="C53" s="24"/>
      <c r="D53" s="225" t="s">
        <v>270</v>
      </c>
      <c r="E53" s="209" t="s">
        <v>204</v>
      </c>
      <c r="F53" s="24"/>
      <c r="G53" s="227" t="s">
        <v>265</v>
      </c>
    </row>
    <row r="54" hidden="1">
      <c r="A54" s="222" t="s">
        <v>271</v>
      </c>
      <c r="B54" s="223" t="s">
        <v>272</v>
      </c>
      <c r="C54" s="24"/>
      <c r="D54" s="225" t="s">
        <v>273</v>
      </c>
      <c r="E54" s="209" t="s">
        <v>204</v>
      </c>
      <c r="F54" s="24"/>
      <c r="G54" s="227" t="s">
        <v>265</v>
      </c>
    </row>
    <row r="55" hidden="1">
      <c r="A55" s="238" t="s">
        <v>275</v>
      </c>
      <c r="B55" s="244" t="s">
        <v>276</v>
      </c>
      <c r="C55" s="24"/>
      <c r="D55" s="225" t="s">
        <v>281</v>
      </c>
      <c r="E55" s="209" t="s">
        <v>204</v>
      </c>
      <c r="F55" s="24"/>
      <c r="G55" s="227" t="s">
        <v>265</v>
      </c>
    </row>
    <row r="56" ht="27.0" customHeight="1">
      <c r="A56" s="245" t="s">
        <v>282</v>
      </c>
      <c r="B56" s="246"/>
      <c r="C56" s="246"/>
      <c r="D56" s="246"/>
      <c r="E56" s="246"/>
      <c r="F56" s="246"/>
      <c r="G56" s="247"/>
    </row>
    <row r="57">
      <c r="A57" s="249" t="s">
        <v>283</v>
      </c>
      <c r="B57" s="251" t="s">
        <v>284</v>
      </c>
      <c r="C57" s="253" t="s">
        <v>285</v>
      </c>
      <c r="D57" s="254" t="s">
        <v>287</v>
      </c>
      <c r="E57" s="254" t="s">
        <v>288</v>
      </c>
      <c r="F57" s="255" t="s">
        <v>21</v>
      </c>
      <c r="G57" s="256"/>
    </row>
    <row r="58">
      <c r="A58" s="221" t="s">
        <v>289</v>
      </c>
      <c r="B58" s="175" t="s">
        <v>290</v>
      </c>
      <c r="C58" s="264">
        <f t="shared" ref="C58:C62" si="1">len(B58)</f>
        <v>58</v>
      </c>
      <c r="D58" s="268" t="s">
        <v>294</v>
      </c>
      <c r="E58" s="270"/>
      <c r="F58" s="200"/>
      <c r="G58" s="180" t="s">
        <v>77</v>
      </c>
    </row>
    <row r="59" ht="44.25" customHeight="1">
      <c r="A59" s="271" t="s">
        <v>298</v>
      </c>
      <c r="B59" s="272" t="s">
        <v>299</v>
      </c>
      <c r="C59" s="264">
        <f t="shared" si="1"/>
        <v>90</v>
      </c>
      <c r="D59" s="280" t="s">
        <v>301</v>
      </c>
      <c r="E59" s="271"/>
      <c r="F59" s="200"/>
      <c r="G59" s="180" t="s">
        <v>77</v>
      </c>
    </row>
    <row r="60">
      <c r="A60" s="175" t="s">
        <v>304</v>
      </c>
      <c r="B60" s="175" t="s">
        <v>306</v>
      </c>
      <c r="C60" s="264">
        <f t="shared" si="1"/>
        <v>21</v>
      </c>
      <c r="D60" s="283"/>
      <c r="E60" s="285"/>
      <c r="F60" s="287"/>
      <c r="G60" s="180" t="s">
        <v>77</v>
      </c>
    </row>
    <row r="61">
      <c r="A61" s="271" t="s">
        <v>315</v>
      </c>
      <c r="B61" s="289" t="s">
        <v>318</v>
      </c>
      <c r="C61" s="264">
        <f t="shared" si="1"/>
        <v>9</v>
      </c>
      <c r="D61" s="287"/>
      <c r="E61" s="287"/>
      <c r="F61" s="287"/>
      <c r="G61" s="180" t="s">
        <v>77</v>
      </c>
    </row>
    <row r="62">
      <c r="A62" s="271" t="s">
        <v>321</v>
      </c>
      <c r="B62" s="289" t="s">
        <v>322</v>
      </c>
      <c r="C62" s="264">
        <f t="shared" si="1"/>
        <v>5</v>
      </c>
      <c r="D62" s="287"/>
      <c r="E62" s="287"/>
      <c r="F62" s="287"/>
      <c r="G62" s="180" t="s">
        <v>77</v>
      </c>
    </row>
    <row r="63">
      <c r="A63" s="271" t="s">
        <v>324</v>
      </c>
      <c r="B63" s="289" t="s">
        <v>324</v>
      </c>
      <c r="C63" s="264"/>
      <c r="D63" s="291" t="s">
        <v>325</v>
      </c>
      <c r="E63" s="287"/>
      <c r="F63" s="287"/>
      <c r="G63" s="180"/>
    </row>
    <row r="64">
      <c r="A64" s="293"/>
      <c r="B64" s="295"/>
      <c r="C64" s="297"/>
      <c r="D64" s="293"/>
      <c r="E64" s="299"/>
      <c r="F64" s="299"/>
      <c r="G64" s="301"/>
    </row>
  </sheetData>
  <mergeCells count="98">
    <mergeCell ref="B21:C21"/>
    <mergeCell ref="B23:C23"/>
    <mergeCell ref="B25:C25"/>
    <mergeCell ref="B26:C26"/>
    <mergeCell ref="B27:C27"/>
    <mergeCell ref="B28:C28"/>
    <mergeCell ref="B30:C30"/>
    <mergeCell ref="B31:C31"/>
    <mergeCell ref="B32:C32"/>
    <mergeCell ref="B34:C34"/>
    <mergeCell ref="B35:C35"/>
    <mergeCell ref="B37:C37"/>
    <mergeCell ref="B38:C38"/>
    <mergeCell ref="B39:C39"/>
    <mergeCell ref="B49:C49"/>
    <mergeCell ref="B50:C50"/>
    <mergeCell ref="B51:C51"/>
    <mergeCell ref="B52:C52"/>
    <mergeCell ref="B53:C53"/>
    <mergeCell ref="B54:C54"/>
    <mergeCell ref="B55:C55"/>
    <mergeCell ref="B40:C40"/>
    <mergeCell ref="B41:C41"/>
    <mergeCell ref="B42:C42"/>
    <mergeCell ref="B43:C43"/>
    <mergeCell ref="B44:C44"/>
    <mergeCell ref="B46:C46"/>
    <mergeCell ref="B47:C47"/>
    <mergeCell ref="E28:F28"/>
    <mergeCell ref="A29:G29"/>
    <mergeCell ref="E30:F30"/>
    <mergeCell ref="E31:F31"/>
    <mergeCell ref="E32:F32"/>
    <mergeCell ref="A33:G33"/>
    <mergeCell ref="E34:F34"/>
    <mergeCell ref="E35:F35"/>
    <mergeCell ref="A36:G36"/>
    <mergeCell ref="E37:F37"/>
    <mergeCell ref="E38:F38"/>
    <mergeCell ref="E39:F39"/>
    <mergeCell ref="E40:F40"/>
    <mergeCell ref="E41:F41"/>
    <mergeCell ref="A1:G1"/>
    <mergeCell ref="A2:G2"/>
    <mergeCell ref="B3:C3"/>
    <mergeCell ref="D3:F3"/>
    <mergeCell ref="A4:G4"/>
    <mergeCell ref="B5:C5"/>
    <mergeCell ref="D5:F5"/>
    <mergeCell ref="B6:C6"/>
    <mergeCell ref="D6:F6"/>
    <mergeCell ref="B7:C7"/>
    <mergeCell ref="D7:F7"/>
    <mergeCell ref="B8:C8"/>
    <mergeCell ref="D8:F8"/>
    <mergeCell ref="B9:C9"/>
    <mergeCell ref="B10:C10"/>
    <mergeCell ref="D10:F10"/>
    <mergeCell ref="B11:C11"/>
    <mergeCell ref="D11:F11"/>
    <mergeCell ref="B12:C12"/>
    <mergeCell ref="D12:F12"/>
    <mergeCell ref="D13:F13"/>
    <mergeCell ref="D14:F14"/>
    <mergeCell ref="D15:F15"/>
    <mergeCell ref="D16:F16"/>
    <mergeCell ref="D17:F17"/>
    <mergeCell ref="A18:G18"/>
    <mergeCell ref="D19:F19"/>
    <mergeCell ref="D20:F20"/>
    <mergeCell ref="B13:C13"/>
    <mergeCell ref="B14:C14"/>
    <mergeCell ref="B15:C15"/>
    <mergeCell ref="B16:C16"/>
    <mergeCell ref="B17:C17"/>
    <mergeCell ref="B19:C19"/>
    <mergeCell ref="B20:C20"/>
    <mergeCell ref="D21:F21"/>
    <mergeCell ref="A22:G22"/>
    <mergeCell ref="E23:F23"/>
    <mergeCell ref="A24:G24"/>
    <mergeCell ref="E25:F25"/>
    <mergeCell ref="E26:F26"/>
    <mergeCell ref="E27:F27"/>
    <mergeCell ref="E50:F50"/>
    <mergeCell ref="E51:F51"/>
    <mergeCell ref="E52:F52"/>
    <mergeCell ref="E53:F53"/>
    <mergeCell ref="E54:F54"/>
    <mergeCell ref="E55:F55"/>
    <mergeCell ref="A56:G56"/>
    <mergeCell ref="E42:F42"/>
    <mergeCell ref="E43:F43"/>
    <mergeCell ref="E44:F44"/>
    <mergeCell ref="E46:F46"/>
    <mergeCell ref="E47:F47"/>
    <mergeCell ref="A48:G48"/>
    <mergeCell ref="E49:F49"/>
  </mergeCells>
  <conditionalFormatting sqref="B19:C20">
    <cfRule type="cellIs" dxfId="0" priority="1" operator="equal">
      <formula>"yes"</formula>
    </cfRule>
  </conditionalFormatting>
  <conditionalFormatting sqref="B19:C20">
    <cfRule type="cellIs" dxfId="5" priority="2" operator="equal">
      <formula>"no"</formula>
    </cfRule>
  </conditionalFormatting>
  <dataValidations>
    <dataValidation type="list" allowBlank="1" sqref="B20">
      <formula1>"yes,no"</formula1>
    </dataValidation>
    <dataValidation type="list" allowBlank="1" showErrorMessage="1" sqref="B6 B11">
      <formula1>"Driver,Stand-alone"</formula1>
    </dataValidation>
  </dataValidations>
  <hyperlinks>
    <hyperlink r:id="rId2" ref="D5"/>
    <hyperlink r:id="rId3" ref="B7"/>
    <hyperlink r:id="rId4" ref="B8"/>
    <hyperlink r:id="rId5" ref="D10"/>
    <hyperlink r:id="rId6" ref="B16"/>
    <hyperlink r:id="rId7" ref="B17"/>
    <hyperlink r:id="rId8" ref="B26"/>
    <hyperlink r:id="rId9" ref="B27"/>
    <hyperlink r:id="rId10" ref="B30"/>
    <hyperlink r:id="rId11" ref="B31"/>
    <hyperlink r:id="rId12" ref="A35"/>
    <hyperlink r:id="rId13" ref="B35"/>
    <hyperlink r:id="rId14" ref="A37"/>
    <hyperlink r:id="rId15" ref="B40"/>
    <hyperlink r:id="rId16" ref="A41"/>
    <hyperlink r:id="rId17" ref="B44"/>
    <hyperlink r:id="rId18" ref="B49"/>
    <hyperlink r:id="rId19" ref="B50"/>
    <hyperlink r:id="rId20" ref="B51"/>
    <hyperlink r:id="rId21" ref="B53"/>
    <hyperlink r:id="rId22" ref="B55"/>
    <hyperlink r:id="rId23" ref="D58"/>
    <hyperlink r:id="rId24" ref="D59"/>
    <hyperlink r:id="rId25" ref="D63"/>
  </hyperlinks>
  <printOptions gridLines="1" horizontalCentered="1"/>
  <pageMargins bottom="0.75" footer="0.0" header="0.0" left="0.7" right="0.7" top="0.75"/>
  <pageSetup cellComments="atEnd" orientation="landscape" pageOrder="overThenDown"/>
  <drawing r:id="rId26"/>
  <legacy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outlineLevelCol="1" outlineLevelRow="2"/>
  <cols>
    <col customWidth="1" min="1" max="2" width="44.38"/>
    <col customWidth="1" min="3" max="3" width="46.25"/>
    <col customWidth="1" min="4" max="4" width="11.0"/>
    <col customWidth="1" min="5" max="5" width="9.38"/>
  </cols>
  <sheetData>
    <row r="1" ht="15.0" customHeight="1">
      <c r="A1" s="1"/>
      <c r="B1" s="3" t="s">
        <v>1</v>
      </c>
      <c r="C1" s="3" t="s">
        <v>2</v>
      </c>
      <c r="D1" s="5" t="s">
        <v>3</v>
      </c>
      <c r="E1" s="1" t="s">
        <v>4</v>
      </c>
    </row>
    <row r="2" ht="24.75" customHeight="1">
      <c r="A2" s="21" t="s">
        <v>5</v>
      </c>
    </row>
    <row r="3" ht="18.75" customHeight="1">
      <c r="A3" s="25" t="s">
        <v>19</v>
      </c>
    </row>
    <row r="4" ht="15.0" customHeight="1">
      <c r="A4" s="27" t="s">
        <v>22</v>
      </c>
      <c r="B4" s="39" t="str">
        <f>'ProgramEmail Details'!B14</f>
        <v>Yes</v>
      </c>
      <c r="C4" s="39" t="s">
        <v>41</v>
      </c>
      <c r="D4" s="41"/>
      <c r="E4" s="26" t="s">
        <v>20</v>
      </c>
    </row>
    <row r="5" ht="15.0" customHeight="1">
      <c r="A5" s="27" t="s">
        <v>43</v>
      </c>
      <c r="B5" s="39" t="str">
        <f>'ProgramEmail Details'!B15</f>
        <v>Yes</v>
      </c>
      <c r="C5" s="39" t="s">
        <v>41</v>
      </c>
      <c r="D5" s="41"/>
      <c r="E5" s="26" t="s">
        <v>20</v>
      </c>
    </row>
    <row r="6" ht="24.0" customHeight="1">
      <c r="A6" s="44" t="s">
        <v>52</v>
      </c>
    </row>
    <row r="7" ht="15.0" customHeight="1">
      <c r="A7" s="45" t="s">
        <v>8</v>
      </c>
      <c r="B7" s="49" t="str">
        <f>IFERROR(VLOOKUP($A7,'Pre-Open Package'!A3:B3,2,FALSE),"")</f>
        <v/>
      </c>
      <c r="C7" s="51" t="s">
        <v>70</v>
      </c>
      <c r="D7" s="53"/>
      <c r="E7" s="54" t="s">
        <v>77</v>
      </c>
    </row>
    <row r="8" ht="15.0" customHeight="1">
      <c r="A8" s="45" t="s">
        <v>79</v>
      </c>
      <c r="B8" s="59" t="str">
        <f>'CreativeLink MatrixAlt Text'!B7</f>
        <v>2 Asset Handoff</v>
      </c>
      <c r="C8" s="51" t="s">
        <v>94</v>
      </c>
      <c r="D8" s="53"/>
      <c r="E8" s="54" t="s">
        <v>77</v>
      </c>
    </row>
    <row r="9" ht="15.0" customHeight="1">
      <c r="A9" s="62" t="s">
        <v>95</v>
      </c>
      <c r="B9" s="49" t="str">
        <f>IFERROR(VLOOKUP($A9,'ProgramEmail Details'!$A:$B,2,FALSE),"")</f>
        <v>per-h-pmc-0001-2, per-h-pmc-0001-2-tp</v>
      </c>
      <c r="C9" s="73" t="s">
        <v>104</v>
      </c>
      <c r="D9" s="41"/>
      <c r="E9" s="26" t="s">
        <v>20</v>
      </c>
    </row>
    <row r="10" ht="15.0" customHeight="1">
      <c r="A10" s="75" t="s">
        <v>112</v>
      </c>
      <c r="B10" s="49" t="str">
        <f>IFERROR(VLOOKUP($A10,'ProgramEmail Details'!$A:$B,2,FALSE),"")</f>
        <v>N/A</v>
      </c>
      <c r="C10" s="73" t="s">
        <v>116</v>
      </c>
      <c r="D10" s="41"/>
      <c r="E10" s="26" t="s">
        <v>20</v>
      </c>
    </row>
    <row r="11" ht="15.0" customHeight="1">
      <c r="A11" s="82" t="s">
        <v>50</v>
      </c>
      <c r="B11" s="49" t="str">
        <f>IFERROR(VLOOKUP($A11,'Pre-Open Package'!A10:B12,2,FALSE),"")</f>
        <v/>
      </c>
      <c r="C11" s="73" t="s">
        <v>70</v>
      </c>
      <c r="D11" s="91">
        <f t="shared" ref="D11:D13" si="1">LEN(B11)</f>
        <v>0</v>
      </c>
      <c r="E11" s="93" t="s">
        <v>77</v>
      </c>
    </row>
    <row r="12" ht="15.0" customHeight="1">
      <c r="A12" s="82" t="s">
        <v>53</v>
      </c>
      <c r="B12" s="49" t="str">
        <f t="shared" ref="B12:B13" si="2">IFERROR(VLOOKUP($A12,'Pre-Open Package'!A11:B12,2,FALSE),"")</f>
        <v/>
      </c>
      <c r="C12" s="73" t="s">
        <v>70</v>
      </c>
      <c r="D12" s="91">
        <f t="shared" si="1"/>
        <v>0</v>
      </c>
      <c r="E12" s="93" t="s">
        <v>77</v>
      </c>
    </row>
    <row r="13" ht="15.0" customHeight="1">
      <c r="A13" s="82" t="s">
        <v>55</v>
      </c>
      <c r="B13" s="49" t="str">
        <f t="shared" si="2"/>
        <v/>
      </c>
      <c r="C13" s="73" t="s">
        <v>70</v>
      </c>
      <c r="D13" s="91">
        <f t="shared" si="1"/>
        <v>0</v>
      </c>
      <c r="E13" s="93" t="s">
        <v>77</v>
      </c>
    </row>
    <row r="14" ht="15.0" customHeight="1">
      <c r="A14" s="105" t="s">
        <v>140</v>
      </c>
      <c r="B14" s="111"/>
      <c r="C14" s="128" t="s">
        <v>151</v>
      </c>
      <c r="D14" s="91"/>
      <c r="E14" s="26" t="s">
        <v>20</v>
      </c>
    </row>
    <row r="15" ht="15.0" customHeight="1">
      <c r="A15" s="129" t="s">
        <v>168</v>
      </c>
      <c r="B15" s="131"/>
      <c r="C15" s="23" t="s">
        <v>170</v>
      </c>
      <c r="D15" s="91"/>
      <c r="E15" s="132" t="s">
        <v>171</v>
      </c>
    </row>
    <row r="16" ht="15.0" customHeight="1">
      <c r="A16" s="133" t="s">
        <v>172</v>
      </c>
      <c r="B16" s="134" t="s">
        <v>173</v>
      </c>
      <c r="C16" s="136" t="s">
        <v>174</v>
      </c>
      <c r="D16" s="91"/>
      <c r="E16" s="132" t="s">
        <v>171</v>
      </c>
    </row>
    <row r="17" ht="15.0" customHeight="1">
      <c r="A17" s="129" t="s">
        <v>176</v>
      </c>
      <c r="B17" s="111" t="s">
        <v>177</v>
      </c>
      <c r="C17" s="138" t="s">
        <v>179</v>
      </c>
      <c r="D17" s="91"/>
      <c r="E17" s="26" t="s">
        <v>20</v>
      </c>
    </row>
    <row r="18" ht="15.0" customHeight="1">
      <c r="A18" s="139" t="s">
        <v>180</v>
      </c>
    </row>
    <row r="19" ht="15.0" customHeight="1">
      <c r="A19" s="140" t="s">
        <v>91</v>
      </c>
      <c r="B19" s="142" t="str">
        <f>'ProgramEmail Details'!B16</f>
        <v>No</v>
      </c>
      <c r="C19" s="143" t="s">
        <v>41</v>
      </c>
      <c r="D19" s="144"/>
      <c r="E19" s="145" t="s">
        <v>20</v>
      </c>
    </row>
    <row r="20" ht="15.0" customHeight="1">
      <c r="A20" s="140" t="s">
        <v>182</v>
      </c>
      <c r="B20" s="147" t="s">
        <v>183</v>
      </c>
      <c r="C20" s="143" t="s">
        <v>184</v>
      </c>
      <c r="D20" s="144"/>
      <c r="E20" s="149" t="s">
        <v>171</v>
      </c>
    </row>
    <row r="21" ht="15.0" customHeight="1">
      <c r="A21" s="140" t="s">
        <v>185</v>
      </c>
      <c r="B21" s="142"/>
      <c r="C21" s="153" t="s">
        <v>186</v>
      </c>
      <c r="D21" s="144"/>
      <c r="E21" s="149" t="s">
        <v>171</v>
      </c>
    </row>
    <row r="22" ht="15.0" customHeight="1">
      <c r="A22" s="140" t="s">
        <v>187</v>
      </c>
      <c r="B22" s="147" t="str">
        <f>CONCATENATE(B20,B21,"&amp;c=&lt;%= message.delivery.tacticCode %&gt;")</f>
        <v>https://oneclick.interactive.genentech.com/?ProfileId=&lt;%= recipient.VariableField %&gt;&amp;BrandId=&amp;c=&lt;%= message.delivery.tacticCode %&gt;</v>
      </c>
      <c r="C22" s="147" t="s">
        <v>191</v>
      </c>
      <c r="D22" s="144"/>
      <c r="E22" s="149" t="s">
        <v>171</v>
      </c>
    </row>
    <row r="23" ht="24.0" customHeight="1">
      <c r="A23" s="159" t="s">
        <v>192</v>
      </c>
    </row>
    <row r="24" ht="15.0" customHeight="1">
      <c r="A24" s="160" t="s">
        <v>8</v>
      </c>
      <c r="B24" s="49" t="str">
        <f>IFERROR(VLOOKUP($A24,'Pre-Open Package'!A18:B18,2,FALSE),"")</f>
        <v/>
      </c>
      <c r="C24" s="51" t="s">
        <v>70</v>
      </c>
      <c r="D24" s="53"/>
      <c r="E24" s="54" t="s">
        <v>77</v>
      </c>
    </row>
    <row r="25" ht="15.0" customHeight="1">
      <c r="A25" s="160" t="s">
        <v>169</v>
      </c>
      <c r="B25" s="166" t="str">
        <f>IFERROR(VLOOKUP($A25,'CreativeLink MatrixAlt Text'!$A:$B,2,FALSE),"")</f>
        <v>2 Asset Handoff</v>
      </c>
      <c r="C25" s="51" t="s">
        <v>94</v>
      </c>
      <c r="D25" s="53"/>
      <c r="E25" s="54" t="s">
        <v>77</v>
      </c>
    </row>
    <row r="26" ht="15.0" customHeight="1">
      <c r="A26" s="168" t="s">
        <v>200</v>
      </c>
      <c r="B26" s="49" t="str">
        <f>IFERROR(VLOOKUP($A26,'ProgramEmail Details'!$A:$B,2,FALSE),"")</f>
        <v>per-h-pmc-0001-1-fe</v>
      </c>
      <c r="C26" s="172" t="s">
        <v>203</v>
      </c>
      <c r="D26" s="91"/>
      <c r="E26" s="26" t="s">
        <v>20</v>
      </c>
    </row>
    <row r="27" ht="15.0" customHeight="1">
      <c r="A27" s="168" t="s">
        <v>112</v>
      </c>
      <c r="B27" s="49" t="str">
        <f>IFERROR(VLOOKUP($A27,'ProgramEmail Details'!$A:$B,2,FALSE),"")</f>
        <v>N/A</v>
      </c>
      <c r="C27" s="73" t="s">
        <v>116</v>
      </c>
      <c r="D27" s="91"/>
      <c r="E27" s="26" t="s">
        <v>20</v>
      </c>
    </row>
    <row r="28" ht="15.0" customHeight="1">
      <c r="A28" s="176" t="s">
        <v>50</v>
      </c>
      <c r="B28" s="49" t="str">
        <f t="shared" ref="B28:B30" si="3">IFERROR(VLOOKUP($A28,'Pre-Open Package'!A25:B27,2,FALSE),"")</f>
        <v/>
      </c>
      <c r="C28" s="73" t="s">
        <v>70</v>
      </c>
      <c r="D28" s="91">
        <f t="shared" ref="D28:D30" si="4">LEN(B28)</f>
        <v>0</v>
      </c>
      <c r="E28" s="93" t="s">
        <v>77</v>
      </c>
    </row>
    <row r="29" ht="15.0" customHeight="1">
      <c r="A29" s="176" t="s">
        <v>53</v>
      </c>
      <c r="B29" s="49" t="str">
        <f t="shared" si="3"/>
        <v/>
      </c>
      <c r="C29" s="73" t="s">
        <v>70</v>
      </c>
      <c r="D29" s="91">
        <f t="shared" si="4"/>
        <v>0</v>
      </c>
      <c r="E29" s="93" t="s">
        <v>77</v>
      </c>
    </row>
    <row r="30" ht="15.0" customHeight="1">
      <c r="A30" s="176" t="s">
        <v>55</v>
      </c>
      <c r="B30" s="49" t="str">
        <f t="shared" si="3"/>
        <v/>
      </c>
      <c r="C30" s="73" t="s">
        <v>70</v>
      </c>
      <c r="D30" s="91">
        <f t="shared" si="4"/>
        <v>0</v>
      </c>
      <c r="E30" s="93" t="s">
        <v>77</v>
      </c>
    </row>
    <row r="31" ht="15.0" customHeight="1">
      <c r="A31" s="168" t="s">
        <v>209</v>
      </c>
      <c r="B31" s="181"/>
      <c r="C31" s="182" t="s">
        <v>211</v>
      </c>
      <c r="D31" s="91"/>
      <c r="E31" s="183" t="s">
        <v>212</v>
      </c>
    </row>
    <row r="32" ht="36.75" customHeight="1">
      <c r="A32" s="184" t="s">
        <v>213</v>
      </c>
    </row>
    <row r="33" ht="24.0" customHeight="1">
      <c r="A33" s="44" t="s">
        <v>214</v>
      </c>
      <c r="B33" s="186"/>
      <c r="C33" s="186"/>
      <c r="D33" s="186"/>
      <c r="E33" s="186"/>
    </row>
    <row r="34" ht="15.0" customHeight="1">
      <c r="A34" s="187" t="s">
        <v>120</v>
      </c>
      <c r="B34" s="166" t="str">
        <f>IFERROR(VLOOKUP($A34,'CreativeLink MatrixAlt Text'!$A:$B,2,FALSE),"")</f>
        <v>4. PRC_RegA_FDA</v>
      </c>
      <c r="C34" s="73" t="s">
        <v>94</v>
      </c>
      <c r="D34" s="189"/>
      <c r="E34" s="190" t="s">
        <v>77</v>
      </c>
    </row>
    <row r="35" ht="15.0" customHeight="1">
      <c r="A35" s="45" t="s">
        <v>216</v>
      </c>
      <c r="B35" s="48"/>
      <c r="C35" s="193" t="s">
        <v>217</v>
      </c>
      <c r="D35" s="189"/>
      <c r="E35" s="26" t="s">
        <v>20</v>
      </c>
    </row>
    <row r="36" ht="53.25" customHeight="1">
      <c r="A36" s="45" t="s">
        <v>220</v>
      </c>
      <c r="B36" s="48"/>
      <c r="C36" s="194" t="s">
        <v>221</v>
      </c>
      <c r="D36" s="189"/>
      <c r="E36" s="26" t="s">
        <v>20</v>
      </c>
    </row>
    <row r="37" ht="15.0" customHeight="1">
      <c r="A37" s="129" t="s">
        <v>222</v>
      </c>
      <c r="B37" s="196"/>
      <c r="C37" s="111" t="s">
        <v>223</v>
      </c>
      <c r="D37" s="91">
        <f t="shared" ref="D37:D39" si="5">LEN(B37)</f>
        <v>0</v>
      </c>
      <c r="E37" s="26" t="s">
        <v>20</v>
      </c>
    </row>
    <row r="38" ht="15.0" customHeight="1">
      <c r="A38" s="129" t="s">
        <v>226</v>
      </c>
      <c r="B38" s="196"/>
      <c r="C38" s="111" t="s">
        <v>223</v>
      </c>
      <c r="D38" s="91">
        <f t="shared" si="5"/>
        <v>0</v>
      </c>
      <c r="E38" s="26" t="s">
        <v>20</v>
      </c>
    </row>
    <row r="39" ht="15.0" customHeight="1">
      <c r="A39" s="129" t="s">
        <v>227</v>
      </c>
      <c r="B39" s="196"/>
      <c r="C39" s="111" t="s">
        <v>228</v>
      </c>
      <c r="D39" s="91">
        <f t="shared" si="5"/>
        <v>0</v>
      </c>
      <c r="E39" s="26" t="s">
        <v>20</v>
      </c>
    </row>
    <row r="40" ht="15.0" customHeight="1">
      <c r="A40" s="197" t="s">
        <v>229</v>
      </c>
      <c r="E40" s="26" t="s">
        <v>20</v>
      </c>
    </row>
    <row r="41">
      <c r="A41" s="202" t="s">
        <v>230</v>
      </c>
      <c r="E41" s="183" t="s">
        <v>212</v>
      </c>
    </row>
    <row r="42" ht="15.0" customHeight="1">
      <c r="A42" s="27" t="s">
        <v>232</v>
      </c>
      <c r="B42" s="203"/>
      <c r="C42" s="48" t="s">
        <v>234</v>
      </c>
      <c r="D42" s="91">
        <f>LEN(B42)</f>
        <v>0</v>
      </c>
      <c r="E42" s="26" t="s">
        <v>20</v>
      </c>
    </row>
    <row r="43" ht="24.0" customHeight="1">
      <c r="A43" s="159" t="s">
        <v>235</v>
      </c>
      <c r="B43" s="205"/>
      <c r="C43" s="205"/>
      <c r="D43" s="205"/>
      <c r="E43" s="205"/>
    </row>
    <row r="44" ht="15.0" customHeight="1">
      <c r="A44" s="207" t="s">
        <v>175</v>
      </c>
      <c r="B44" s="166" t="str">
        <f>IFERROR(VLOOKUP($A44,'CreativeLink MatrixAlt Text'!$A:$B,2,FALSE),"")</f>
        <v>5. Third Party Handoff</v>
      </c>
      <c r="C44" s="73" t="s">
        <v>94</v>
      </c>
      <c r="D44" s="189"/>
      <c r="E44" s="190" t="s">
        <v>77</v>
      </c>
    </row>
    <row r="45" ht="15.0" customHeight="1">
      <c r="A45" s="211" t="s">
        <v>238</v>
      </c>
      <c r="B45" s="196"/>
      <c r="C45" s="111" t="s">
        <v>223</v>
      </c>
      <c r="D45" s="91">
        <f t="shared" ref="D45:D50" si="6">LEN(B45)</f>
        <v>0</v>
      </c>
      <c r="E45" s="26" t="s">
        <v>20</v>
      </c>
    </row>
    <row r="46" ht="15.0" customHeight="1">
      <c r="A46" s="211" t="s">
        <v>239</v>
      </c>
      <c r="B46" s="196"/>
      <c r="C46" s="111" t="s">
        <v>240</v>
      </c>
      <c r="D46" s="91">
        <f t="shared" si="6"/>
        <v>0</v>
      </c>
      <c r="E46" s="26" t="s">
        <v>20</v>
      </c>
    </row>
    <row r="47" ht="15.0" customHeight="1">
      <c r="A47" s="211" t="s">
        <v>241</v>
      </c>
      <c r="B47" s="196"/>
      <c r="C47" s="111" t="s">
        <v>242</v>
      </c>
      <c r="D47" s="91">
        <f t="shared" si="6"/>
        <v>0</v>
      </c>
      <c r="E47" s="26" t="s">
        <v>20</v>
      </c>
    </row>
    <row r="48" ht="15.0" customHeight="1">
      <c r="A48" s="168" t="s">
        <v>148</v>
      </c>
      <c r="B48" s="49" t="str">
        <f>IFERROR(VLOOKUP($A48,'CreativeLink MatrixAlt Text'!$A:$B,2,FALSE),"")</f>
        <v/>
      </c>
      <c r="C48" s="215" t="s">
        <v>245</v>
      </c>
      <c r="D48" s="91">
        <f t="shared" si="6"/>
        <v>0</v>
      </c>
      <c r="E48" s="190" t="s">
        <v>77</v>
      </c>
    </row>
    <row r="49" ht="15.0" customHeight="1">
      <c r="A49" s="217" t="s">
        <v>162</v>
      </c>
      <c r="B49" s="49" t="str">
        <f>IFERROR(VLOOKUP($A49,'CreativeLink MatrixAlt Text'!$A:$B,2,FALSE),"")</f>
        <v/>
      </c>
      <c r="C49" s="218" t="s">
        <v>94</v>
      </c>
      <c r="D49" s="91">
        <f t="shared" si="6"/>
        <v>0</v>
      </c>
      <c r="E49" s="190" t="s">
        <v>77</v>
      </c>
    </row>
    <row r="50" ht="15.0" customHeight="1">
      <c r="A50" s="217" t="s">
        <v>167</v>
      </c>
      <c r="B50" s="49" t="str">
        <f>IFERROR(VLOOKUP($A50,'CreativeLink MatrixAlt Text'!$A:$B,2,FALSE),"")</f>
        <v/>
      </c>
      <c r="C50" s="218" t="s">
        <v>94</v>
      </c>
      <c r="D50" s="91">
        <f t="shared" si="6"/>
        <v>0</v>
      </c>
      <c r="E50" s="190" t="s">
        <v>77</v>
      </c>
    </row>
    <row r="51" ht="15.0" customHeight="1">
      <c r="A51" s="197" t="s">
        <v>229</v>
      </c>
      <c r="E51" s="26" t="s">
        <v>20</v>
      </c>
    </row>
    <row r="52" ht="15.0" customHeight="1">
      <c r="A52" s="27" t="s">
        <v>253</v>
      </c>
      <c r="B52" s="38"/>
      <c r="C52" s="48" t="s">
        <v>234</v>
      </c>
      <c r="D52" s="91"/>
      <c r="E52" s="26" t="s">
        <v>20</v>
      </c>
    </row>
  </sheetData>
  <mergeCells count="9">
    <mergeCell ref="A41:D41"/>
    <mergeCell ref="A51:D51"/>
    <mergeCell ref="A2:E2"/>
    <mergeCell ref="A3:E3"/>
    <mergeCell ref="A6:E6"/>
    <mergeCell ref="A18:E18"/>
    <mergeCell ref="A23:E23"/>
    <mergeCell ref="A32:E32"/>
    <mergeCell ref="A40:D40"/>
  </mergeCells>
  <conditionalFormatting sqref="D11:D13 D28:D30 D37:D39 D42 D45:D50 D52">
    <cfRule type="cellIs" dxfId="3" priority="1" operator="greaterThan">
      <formula>50</formula>
    </cfRule>
  </conditionalFormatting>
  <conditionalFormatting sqref="B19">
    <cfRule type="containsBlanks" dxfId="4" priority="2">
      <formula>LEN(TRIM(B19))=0</formula>
    </cfRule>
  </conditionalFormatting>
  <conditionalFormatting sqref="B21">
    <cfRule type="expression" dxfId="4" priority="3">
      <formula>$B19=Yes</formula>
    </cfRule>
  </conditionalFormatting>
  <conditionalFormatting sqref="B21">
    <cfRule type="expression" dxfId="4" priority="4">
      <formula>AND(B19="Yes", B21="")</formula>
    </cfRule>
  </conditionalFormatting>
  <dataValidations>
    <dataValidation type="list" allowBlank="1" sqref="B4:B5 B19">
      <formula1>"Yes,No"</formula1>
    </dataValidation>
    <dataValidation type="list" allowBlank="1" sqref="B15">
      <formula1>"N/A,First Name,Last Name,Full Name,,Dear First Name,,Hello First Name,,Dear Dr. Last Name,,Hello Dr. Last Name,,Dear Dr. Full Name,,Hello Dr. Full Name,,Other:"</formula1>
    </dataValidation>
    <dataValidation type="list" allowBlank="1" sqref="B14">
      <formula1>"HCP Generic Text Version,Patient Generic Text Version,Venclexta HCP Generic Text Version,Xolair Patient Generic Text Version,HCP Generic Spanish Version,Patient Generic Spanish Version"</formula1>
    </dataValidation>
    <dataValidation type="list" allowBlank="1" sqref="B36">
      <formula1>"No,Yes  &lt;provide date&gt;"</formula1>
    </dataValidation>
  </dataValidations>
  <hyperlinks>
    <hyperlink r:id="rId2" location="gid=2092120477" ref="C14"/>
    <hyperlink r:id="rId3" location="gid=0" ref="C16"/>
    <hyperlink r:id="rId4" location="gid=60364941" ref="C21"/>
    <hyperlink r:id="rId5" location="comment-1076265232" ref="C35"/>
    <hyperlink r:id="rId6" ref="A41"/>
    <hyperlink r:id="rId7" ref="C48"/>
  </hyperlinks>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2.75" outlineLevelCol="1" outlineLevelRow="2"/>
  <cols>
    <col customWidth="1" min="1" max="2" width="41.5"/>
    <col customWidth="1" min="3" max="3" width="37.25"/>
    <col customWidth="1" min="4" max="4" width="13.0"/>
    <col customWidth="1" min="5" max="5" width="35.5"/>
  </cols>
  <sheetData>
    <row r="1" ht="22.5" customHeight="1">
      <c r="A1" s="224" t="s">
        <v>262</v>
      </c>
      <c r="B1" s="224"/>
      <c r="C1" s="224"/>
      <c r="D1" s="224"/>
      <c r="E1" s="224"/>
    </row>
    <row r="2" ht="15.0" customHeight="1">
      <c r="A2" s="226" t="s">
        <v>264</v>
      </c>
      <c r="B2" s="228" t="s">
        <v>1</v>
      </c>
      <c r="C2" s="228" t="s">
        <v>2</v>
      </c>
      <c r="D2" s="229" t="s">
        <v>4</v>
      </c>
      <c r="E2" s="230" t="s">
        <v>268</v>
      </c>
    </row>
    <row r="3" ht="15.0" customHeight="1">
      <c r="A3" s="231" t="s">
        <v>140</v>
      </c>
      <c r="B3" s="232" t="str">
        <f>IFERROR(VLOOKUP($A3,'Production Details'!$A:$B,2,FALSE),"")</f>
        <v/>
      </c>
      <c r="C3" s="234" t="s">
        <v>269</v>
      </c>
      <c r="D3" s="235" t="s">
        <v>20</v>
      </c>
      <c r="E3" s="236"/>
    </row>
    <row r="4" ht="15.0" customHeight="1">
      <c r="A4" s="226" t="s">
        <v>168</v>
      </c>
      <c r="B4" s="228" t="s">
        <v>1</v>
      </c>
      <c r="C4" s="228" t="s">
        <v>2</v>
      </c>
      <c r="D4" s="229" t="s">
        <v>4</v>
      </c>
      <c r="E4" s="230" t="s">
        <v>268</v>
      </c>
    </row>
    <row r="5" ht="15.0" customHeight="1">
      <c r="A5" s="237" t="s">
        <v>168</v>
      </c>
      <c r="B5" s="232" t="str">
        <f>IFERROR(VLOOKUP($A5,'Production Details'!$A:$B,2,FALSE),"")</f>
        <v/>
      </c>
      <c r="C5" s="240" t="s">
        <v>277</v>
      </c>
      <c r="D5" s="242" t="s">
        <v>171</v>
      </c>
      <c r="E5" s="236" t="s">
        <v>279</v>
      </c>
    </row>
    <row r="6" ht="15.0" customHeight="1">
      <c r="A6" s="237" t="s">
        <v>172</v>
      </c>
      <c r="B6" s="232" t="str">
        <f>IFERROR(VLOOKUP($A6,'Production Details'!$A:$B,2,FALSE),"")</f>
        <v>N/A (unless "Other" was selected for "Name Personalization")</v>
      </c>
      <c r="C6" s="257" t="s">
        <v>286</v>
      </c>
      <c r="D6" s="259" t="s">
        <v>292</v>
      </c>
      <c r="E6" s="261"/>
    </row>
    <row r="7" ht="15.0" customHeight="1">
      <c r="A7" s="237" t="s">
        <v>176</v>
      </c>
      <c r="B7" s="232" t="str">
        <f>IFERROR(VLOOKUP($A7,'Production Details'!$A:$B,2,FALSE),"")</f>
        <v>Default (or N/A if no "Name Personalization")</v>
      </c>
      <c r="C7" s="265" t="s">
        <v>295</v>
      </c>
      <c r="D7" s="235" t="s">
        <v>20</v>
      </c>
      <c r="E7" s="266"/>
    </row>
    <row r="8" ht="15.0" customHeight="1">
      <c r="A8" s="226" t="s">
        <v>297</v>
      </c>
      <c r="B8" s="228" t="s">
        <v>1</v>
      </c>
      <c r="C8" s="228" t="s">
        <v>2</v>
      </c>
      <c r="D8" s="229" t="s">
        <v>4</v>
      </c>
      <c r="E8" s="230" t="s">
        <v>268</v>
      </c>
    </row>
    <row r="9" ht="15.0" customHeight="1">
      <c r="A9" s="269" t="s">
        <v>13</v>
      </c>
      <c r="B9" s="274" t="str">
        <f>IFERROR(VLOOKUP($A9,'ProgramEmail Details'!$A:$B,2,FALSE),"")</f>
        <v/>
      </c>
      <c r="C9" s="275" t="s">
        <v>302</v>
      </c>
      <c r="D9" s="276" t="s">
        <v>20</v>
      </c>
      <c r="E9" s="277"/>
    </row>
    <row r="10" ht="15.0" customHeight="1">
      <c r="A10" s="278" t="s">
        <v>143</v>
      </c>
      <c r="B10" s="281" t="str">
        <f>IFERROR(VLOOKUP($A10,'ProgramEmail Details'!$A:$B,2,FALSE),"")</f>
        <v/>
      </c>
      <c r="C10" s="275" t="s">
        <v>308</v>
      </c>
      <c r="D10" s="276" t="s">
        <v>20</v>
      </c>
      <c r="E10" s="284" t="s">
        <v>309</v>
      </c>
    </row>
    <row r="11" ht="15.0" customHeight="1">
      <c r="A11" s="278" t="s">
        <v>310</v>
      </c>
      <c r="B11" s="286"/>
      <c r="C11" s="284" t="s">
        <v>313</v>
      </c>
      <c r="D11" s="288" t="s">
        <v>314</v>
      </c>
      <c r="E11" s="284" t="s">
        <v>316</v>
      </c>
    </row>
    <row r="12" ht="15.0" customHeight="1">
      <c r="A12" s="231" t="s">
        <v>319</v>
      </c>
      <c r="B12" s="298" t="s">
        <v>327</v>
      </c>
      <c r="C12" s="300" t="s">
        <v>330</v>
      </c>
      <c r="D12" s="288" t="s">
        <v>314</v>
      </c>
      <c r="E12" s="302" t="s">
        <v>332</v>
      </c>
    </row>
    <row r="13" ht="15.0" customHeight="1">
      <c r="A13" s="303" t="s">
        <v>333</v>
      </c>
      <c r="B13" s="305" t="s">
        <v>335</v>
      </c>
      <c r="C13" s="284" t="s">
        <v>336</v>
      </c>
      <c r="D13" s="288" t="s">
        <v>314</v>
      </c>
      <c r="E13" s="306"/>
    </row>
    <row r="14" ht="15.0" customHeight="1">
      <c r="A14" s="226" t="s">
        <v>337</v>
      </c>
      <c r="B14" s="228" t="s">
        <v>1</v>
      </c>
      <c r="C14" s="228" t="s">
        <v>2</v>
      </c>
      <c r="D14" s="229" t="s">
        <v>4</v>
      </c>
      <c r="E14" s="230" t="s">
        <v>268</v>
      </c>
    </row>
    <row r="15" ht="15.0" customHeight="1">
      <c r="A15" s="307" t="s">
        <v>216</v>
      </c>
      <c r="B15" s="312" t="str">
        <f>IFERROR(VLOOKUP($A15,'Production Details'!$A:$B,2,FALSE),"")</f>
        <v/>
      </c>
      <c r="C15" s="234" t="s">
        <v>269</v>
      </c>
      <c r="D15" s="235" t="s">
        <v>20</v>
      </c>
      <c r="E15" s="236"/>
    </row>
    <row r="16" ht="15.0" customHeight="1">
      <c r="A16" s="307" t="s">
        <v>220</v>
      </c>
      <c r="B16" s="312" t="str">
        <f>IFERROR(VLOOKUP($A16,'Production Details'!$A:$B,2,FALSE),"")</f>
        <v/>
      </c>
      <c r="C16" s="234" t="s">
        <v>269</v>
      </c>
      <c r="D16" s="235" t="s">
        <v>20</v>
      </c>
      <c r="E16" s="236"/>
    </row>
    <row r="17" ht="15.0" customHeight="1">
      <c r="A17" s="226" t="s">
        <v>146</v>
      </c>
      <c r="B17" s="228" t="s">
        <v>1</v>
      </c>
      <c r="C17" s="228" t="s">
        <v>2</v>
      </c>
      <c r="D17" s="229" t="s">
        <v>4</v>
      </c>
      <c r="E17" s="230"/>
    </row>
    <row r="18" ht="15.0" customHeight="1">
      <c r="A18" s="313" t="s">
        <v>147</v>
      </c>
      <c r="B18" s="232" t="str">
        <f>IFERROR(VLOOKUP($A18,'ProgramEmail Details'!$A:$B,2,FALSE),"")</f>
        <v/>
      </c>
      <c r="C18" s="240" t="s">
        <v>308</v>
      </c>
      <c r="D18" s="235" t="s">
        <v>20</v>
      </c>
      <c r="E18" s="236"/>
    </row>
    <row r="19" ht="15.0" customHeight="1">
      <c r="A19" s="313" t="s">
        <v>152</v>
      </c>
      <c r="B19" s="232" t="str">
        <f>IFERROR(VLOOKUP($A19,'ProgramEmail Details'!$A:$B,2,FALSE),"")</f>
        <v/>
      </c>
      <c r="C19" s="240" t="s">
        <v>308</v>
      </c>
      <c r="D19" s="235" t="s">
        <v>20</v>
      </c>
      <c r="E19" s="236"/>
    </row>
    <row r="20" ht="15.0" customHeight="1">
      <c r="A20" s="313" t="s">
        <v>155</v>
      </c>
      <c r="B20" s="232" t="str">
        <f>IFERROR(VLOOKUP($A20,'ProgramEmail Details'!$A:$B,2,FALSE),"")</f>
        <v/>
      </c>
      <c r="C20" s="240" t="s">
        <v>308</v>
      </c>
      <c r="D20" s="235" t="s">
        <v>20</v>
      </c>
      <c r="E20" s="236"/>
    </row>
    <row r="21" ht="15.0" customHeight="1">
      <c r="A21" s="315" t="s">
        <v>343</v>
      </c>
      <c r="B21" s="316" t="s">
        <v>1</v>
      </c>
      <c r="C21" s="316" t="s">
        <v>2</v>
      </c>
      <c r="D21" s="318" t="s">
        <v>4</v>
      </c>
      <c r="E21" s="315" t="s">
        <v>268</v>
      </c>
    </row>
    <row r="22" ht="15.0" customHeight="1">
      <c r="A22" s="237" t="s">
        <v>345</v>
      </c>
      <c r="B22" s="232" t="str">
        <f>IFERROR(VLOOKUP($A22,'Production Details'!$A:$B,2,FALSE),"")</f>
        <v/>
      </c>
      <c r="C22" s="240" t="s">
        <v>346</v>
      </c>
      <c r="D22" s="235" t="s">
        <v>20</v>
      </c>
      <c r="E22" s="319"/>
    </row>
    <row r="23" ht="15.0" customHeight="1">
      <c r="A23" s="237" t="s">
        <v>226</v>
      </c>
      <c r="B23" s="232" t="str">
        <f>IFERROR(VLOOKUP($A23,'Production Details'!$A:$B,2,FALSE),"")</f>
        <v/>
      </c>
      <c r="C23" s="240" t="s">
        <v>346</v>
      </c>
      <c r="D23" s="235" t="s">
        <v>20</v>
      </c>
      <c r="E23" s="320"/>
    </row>
    <row r="24" ht="15.0" customHeight="1">
      <c r="A24" s="237" t="s">
        <v>347</v>
      </c>
      <c r="B24" s="321"/>
      <c r="C24" s="320"/>
      <c r="D24" s="322" t="s">
        <v>314</v>
      </c>
      <c r="E24" s="320"/>
    </row>
    <row r="25" ht="15.0" customHeight="1">
      <c r="A25" s="323" t="s">
        <v>227</v>
      </c>
      <c r="B25" s="232" t="str">
        <f>IFERROR(VLOOKUP($A25,'Production Details'!$A:$B,2,FALSE),"")</f>
        <v/>
      </c>
      <c r="C25" s="240" t="s">
        <v>346</v>
      </c>
      <c r="D25" s="235" t="s">
        <v>20</v>
      </c>
      <c r="E25" s="320"/>
    </row>
    <row r="26" ht="15.0" customHeight="1">
      <c r="A26" s="315" t="s">
        <v>348</v>
      </c>
      <c r="B26" s="315"/>
      <c r="C26" s="315"/>
      <c r="D26" s="318" t="s">
        <v>4</v>
      </c>
      <c r="E26" s="315" t="s">
        <v>268</v>
      </c>
    </row>
    <row r="27" ht="15.0" customHeight="1">
      <c r="A27" s="324" t="s">
        <v>349</v>
      </c>
      <c r="B27" s="232" t="str">
        <f>IFERROR(VLOOKUP($A27,'ProgramEmail Details'!$A:$B,2,FALSE),"")</f>
        <v>No</v>
      </c>
      <c r="C27" s="240" t="s">
        <v>350</v>
      </c>
      <c r="D27" s="235" t="s">
        <v>20</v>
      </c>
      <c r="E27" s="325" t="s">
        <v>351</v>
      </c>
    </row>
    <row r="28" ht="15.0" customHeight="1">
      <c r="A28" s="324" t="s">
        <v>352</v>
      </c>
      <c r="B28" s="232" t="str">
        <f>IFERROR(VLOOKUP($A28,'ProgramEmail Details'!$A:$B,2,FALSE),"")</f>
        <v/>
      </c>
      <c r="C28" s="240" t="s">
        <v>350</v>
      </c>
      <c r="D28" s="235" t="s">
        <v>20</v>
      </c>
      <c r="E28" s="325"/>
    </row>
    <row r="29" ht="15.0" customHeight="1">
      <c r="A29" s="278" t="s">
        <v>353</v>
      </c>
      <c r="B29" s="232" t="str">
        <f>IFERROR(VLOOKUP($A29,'ProgramEmail Details'!$A:$B,2,FALSE),"")</f>
        <v/>
      </c>
      <c r="C29" s="240" t="s">
        <v>350</v>
      </c>
      <c r="D29" s="235" t="s">
        <v>20</v>
      </c>
      <c r="E29" s="325"/>
    </row>
    <row r="30" ht="84.0" customHeight="1">
      <c r="A30" s="278" t="s">
        <v>354</v>
      </c>
      <c r="B30" s="232" t="str">
        <f>IFERROR(VLOOKUP($A30,'ProgramEmail Details'!$A:$B,2,FALSE),"")</f>
        <v/>
      </c>
      <c r="C30" s="240" t="s">
        <v>350</v>
      </c>
      <c r="D30" s="235" t="s">
        <v>20</v>
      </c>
      <c r="E30" s="325"/>
    </row>
    <row r="31" ht="15.0" customHeight="1">
      <c r="A31" s="278" t="s">
        <v>355</v>
      </c>
      <c r="B31" s="326"/>
      <c r="C31" s="327" t="s">
        <v>356</v>
      </c>
      <c r="D31" s="322" t="s">
        <v>314</v>
      </c>
      <c r="E31" s="325"/>
    </row>
    <row r="32" ht="15.0" customHeight="1">
      <c r="A32" s="318" t="s">
        <v>357</v>
      </c>
      <c r="B32" s="328" t="s">
        <v>1</v>
      </c>
      <c r="C32" s="328" t="s">
        <v>2</v>
      </c>
      <c r="D32" s="318" t="s">
        <v>4</v>
      </c>
      <c r="E32" s="315" t="s">
        <v>268</v>
      </c>
    </row>
    <row r="33" ht="15.0" customHeight="1">
      <c r="A33" s="329" t="s">
        <v>95</v>
      </c>
      <c r="B33" s="232" t="str">
        <f>IFERROR(VLOOKUP($A33,'ProgramEmail Details'!$A:$B,2,FALSE),"")</f>
        <v>per-h-pmc-0001-2, per-h-pmc-0001-2-tp</v>
      </c>
      <c r="C33" s="240" t="s">
        <v>358</v>
      </c>
      <c r="D33" s="235" t="s">
        <v>20</v>
      </c>
      <c r="E33" s="330"/>
    </row>
    <row r="34" ht="15.0" customHeight="1">
      <c r="A34" s="329" t="s">
        <v>61</v>
      </c>
      <c r="B34" s="232" t="str">
        <f>IFERROR(VLOOKUP($A34,'ProgramEmail Details'!$A:$B,2,FALSE),"")</f>
        <v>Perjeta/Phesgo Dual Micro Campaign (Label Update)</v>
      </c>
      <c r="C34" s="240" t="s">
        <v>358</v>
      </c>
      <c r="D34" s="235" t="s">
        <v>20</v>
      </c>
      <c r="E34" s="330"/>
    </row>
    <row r="35" ht="15.0" customHeight="1">
      <c r="A35" s="329" t="s">
        <v>359</v>
      </c>
      <c r="B35" s="331"/>
      <c r="C35" s="332"/>
      <c r="D35" s="322" t="s">
        <v>314</v>
      </c>
      <c r="E35" s="330"/>
    </row>
    <row r="36" ht="15.0" customHeight="1">
      <c r="A36" s="329" t="s">
        <v>360</v>
      </c>
      <c r="B36" s="333"/>
      <c r="C36" s="332"/>
      <c r="D36" s="322" t="s">
        <v>314</v>
      </c>
      <c r="E36" s="330"/>
    </row>
    <row r="37" ht="15.0" customHeight="1">
      <c r="A37" s="329" t="s">
        <v>361</v>
      </c>
      <c r="B37" s="334"/>
      <c r="C37" s="332"/>
      <c r="D37" s="322" t="s">
        <v>314</v>
      </c>
      <c r="E37" s="330"/>
    </row>
    <row r="38" ht="15.0" customHeight="1">
      <c r="A38" s="329" t="s">
        <v>362</v>
      </c>
      <c r="B38" s="333"/>
      <c r="C38" s="332"/>
      <c r="D38" s="322" t="s">
        <v>314</v>
      </c>
      <c r="E38" s="330"/>
    </row>
    <row r="39" ht="15.0" customHeight="1">
      <c r="A39" s="335" t="s">
        <v>72</v>
      </c>
      <c r="B39" s="232" t="str">
        <f>IFERROR(VLOOKUP($A39,'ProgramEmail Details'!$A:$B,2,FALSE),"")</f>
        <v>Phesgo/Perjeta</v>
      </c>
      <c r="C39" s="234" t="s">
        <v>363</v>
      </c>
      <c r="D39" s="235" t="s">
        <v>20</v>
      </c>
      <c r="E39" s="330"/>
    </row>
    <row r="40" ht="15.0" customHeight="1">
      <c r="A40" s="335" t="s">
        <v>364</v>
      </c>
      <c r="B40" s="333"/>
      <c r="C40" s="336"/>
      <c r="D40" s="322" t="s">
        <v>314</v>
      </c>
      <c r="E40" s="330"/>
    </row>
    <row r="41" ht="15.0" customHeight="1">
      <c r="A41" s="337" t="s">
        <v>312</v>
      </c>
      <c r="B41" s="338"/>
      <c r="C41" s="336"/>
      <c r="D41" s="322" t="s">
        <v>314</v>
      </c>
      <c r="E41" s="330"/>
    </row>
    <row r="42" ht="15.0" customHeight="1">
      <c r="A42" s="337" t="s">
        <v>365</v>
      </c>
      <c r="B42" s="333"/>
      <c r="C42" s="336"/>
      <c r="D42" s="322" t="s">
        <v>314</v>
      </c>
      <c r="E42" s="330"/>
    </row>
    <row r="43" ht="15.0" customHeight="1">
      <c r="A43" s="337" t="s">
        <v>323</v>
      </c>
      <c r="B43" s="333"/>
      <c r="C43" s="332"/>
      <c r="D43" s="322" t="s">
        <v>314</v>
      </c>
      <c r="E43" s="330"/>
    </row>
  </sheetData>
  <conditionalFormatting sqref="B27:B31">
    <cfRule type="cellIs" dxfId="6" priority="1" operator="equal">
      <formula>"Yes"</formula>
    </cfRule>
  </conditionalFormatting>
  <conditionalFormatting sqref="B10:B11">
    <cfRule type="cellIs" dxfId="7" priority="2" operator="greaterThan">
      <formula>50</formula>
    </cfRule>
  </conditionalFormatting>
  <hyperlinks>
    <hyperlink r:id="rId4" location="gid=0" ref="C6"/>
    <hyperlink display="Links to &quot;Dynamic Variable Codes&quot; tab" location="'Deployment Details - Dynamic Va'!A1" ref="B12"/>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2.75" outlineLevelCol="1" outlineLevelRow="2"/>
  <cols>
    <col customWidth="1" min="1" max="1" width="44.25"/>
    <col customWidth="1" min="2" max="2" width="49.25"/>
    <col customWidth="1" min="3" max="3" width="40.25"/>
  </cols>
  <sheetData>
    <row r="1" ht="17.25" customHeight="1">
      <c r="A1" s="239" t="s">
        <v>274</v>
      </c>
    </row>
    <row r="2">
      <c r="A2" s="241" t="s">
        <v>278</v>
      </c>
      <c r="B2" s="241" t="s">
        <v>280</v>
      </c>
      <c r="C2" s="241" t="s">
        <v>2</v>
      </c>
    </row>
    <row r="3">
      <c r="A3" s="243" t="s">
        <v>22</v>
      </c>
      <c r="B3" s="248" t="str">
        <f>IFERROR(VLOOKUP($A3,'ProgramEmail Details'!$A:$B,2,FALSE),"")</f>
        <v>Yes</v>
      </c>
      <c r="C3" s="250"/>
    </row>
    <row r="4">
      <c r="A4" s="252" t="s">
        <v>140</v>
      </c>
      <c r="B4" s="248" t="str">
        <f>IFERROR(VLOOKUP($A4,'Production Details'!$A:$B,2,FALSE),"")</f>
        <v/>
      </c>
      <c r="C4" s="250"/>
    </row>
    <row r="5">
      <c r="A5" s="258" t="s">
        <v>291</v>
      </c>
      <c r="B5" s="260"/>
      <c r="C5" s="262"/>
    </row>
    <row r="6">
      <c r="A6" s="263" t="s">
        <v>293</v>
      </c>
      <c r="B6" s="248" t="str">
        <f>IFERROR(VLOOKUP($A6,'Production Details'!$A:$B,2,FALSE),"")</f>
        <v/>
      </c>
      <c r="C6" s="267" t="s">
        <v>296</v>
      </c>
    </row>
    <row r="7">
      <c r="A7" s="263" t="s">
        <v>226</v>
      </c>
      <c r="B7" s="248" t="str">
        <f>IFERROR(VLOOKUP($A7,'Production Details'!$A:$B,2,FALSE),"")</f>
        <v/>
      </c>
      <c r="C7" s="267" t="s">
        <v>296</v>
      </c>
    </row>
    <row r="8">
      <c r="A8" s="273" t="s">
        <v>300</v>
      </c>
      <c r="B8" s="248" t="str">
        <f>IFERROR(VLOOKUP($A8,'Deployment Details'!$A:$B,2,FALSE),"")</f>
        <v/>
      </c>
      <c r="C8" s="279" t="s">
        <v>303</v>
      </c>
    </row>
    <row r="9">
      <c r="A9" s="243" t="s">
        <v>227</v>
      </c>
      <c r="B9" s="248" t="str">
        <f>IFERROR(VLOOKUP($A9,'Deployment Details'!$A:$B,2,FALSE),"")</f>
        <v/>
      </c>
      <c r="C9" s="279" t="s">
        <v>305</v>
      </c>
    </row>
    <row r="10">
      <c r="A10" s="282" t="s">
        <v>307</v>
      </c>
      <c r="B10" s="248" t="str">
        <f>IFERROR(VLOOKUP($A10,'Deployment Details'!$A:$B,2,FALSE),"")</f>
        <v/>
      </c>
      <c r="C10" s="267" t="s">
        <v>311</v>
      </c>
    </row>
    <row r="11">
      <c r="A11" s="273" t="s">
        <v>312</v>
      </c>
      <c r="B11" s="248" t="str">
        <f>IFERROR(VLOOKUP($A11,'Deployment Details'!$A:$B,2,FALSE),"")</f>
        <v/>
      </c>
      <c r="C11" s="267" t="s">
        <v>317</v>
      </c>
    </row>
    <row r="12">
      <c r="A12" s="273" t="s">
        <v>320</v>
      </c>
      <c r="B12" s="248" t="str">
        <f>IFERROR(VLOOKUP($A12,'Deployment Details'!$A:$B,2,FALSE),"")</f>
        <v/>
      </c>
      <c r="C12" s="279" t="s">
        <v>303</v>
      </c>
    </row>
    <row r="13">
      <c r="A13" s="243" t="s">
        <v>323</v>
      </c>
      <c r="B13" s="248" t="str">
        <f>IFERROR(VLOOKUP($A13,'Deployment Details'!$A:$B,2,FALSE),"")</f>
        <v/>
      </c>
      <c r="C13" s="279" t="s">
        <v>326</v>
      </c>
    </row>
    <row r="14">
      <c r="A14" s="290" t="s">
        <v>120</v>
      </c>
      <c r="B14" s="292" t="str">
        <f>IFERROR(VLOOKUP($A14,'CreativeLink MatrixAlt Text'!$A:$B,2,FALSE),"")</f>
        <v>4. PRC_RegA_FDA</v>
      </c>
      <c r="C14" s="294" t="s">
        <v>328</v>
      </c>
    </row>
    <row r="15" ht="15.0" customHeight="1">
      <c r="A15" s="296" t="s">
        <v>329</v>
      </c>
      <c r="B15" s="248" t="str">
        <f>IFERROR(VLOOKUP($A15,'Production Details'!$A:$B,2,FALSE),"")</f>
        <v/>
      </c>
      <c r="C15" s="267" t="s">
        <v>296</v>
      </c>
    </row>
    <row r="16" ht="15.0" customHeight="1">
      <c r="A16" s="263" t="s">
        <v>331</v>
      </c>
      <c r="B16" s="248" t="str">
        <f>IFERROR(VLOOKUP($A16,'Production Details'!$A:$B,2,FALSE),"")</f>
        <v/>
      </c>
      <c r="C16" s="267" t="s">
        <v>296</v>
      </c>
    </row>
    <row r="17" ht="15.0" customHeight="1">
      <c r="A17" s="304" t="s">
        <v>334</v>
      </c>
      <c r="B17" s="248" t="str">
        <f>IFERROR(VLOOKUP($A17,'CreativeLink MatrixAlt Text'!$A:$B,2,FALSE),"")</f>
        <v>no</v>
      </c>
      <c r="C17" s="308" t="s">
        <v>338</v>
      </c>
    </row>
    <row r="18" ht="15.0" customHeight="1">
      <c r="A18" s="309" t="s">
        <v>193</v>
      </c>
      <c r="B18" s="248" t="str">
        <f>IFERROR(VLOOKUP($A18,'CreativeLink MatrixAlt Text'!$A:$B,2,FALSE),"")</f>
        <v/>
      </c>
      <c r="C18" s="308" t="s">
        <v>338</v>
      </c>
    </row>
    <row r="19">
      <c r="A19" s="310"/>
      <c r="B19" s="311"/>
      <c r="C19" s="279"/>
    </row>
    <row r="20">
      <c r="A20" s="241" t="s">
        <v>339</v>
      </c>
      <c r="B20" s="241" t="s">
        <v>340</v>
      </c>
      <c r="C20" s="241" t="s">
        <v>2</v>
      </c>
    </row>
    <row r="21">
      <c r="A21" s="243" t="s">
        <v>341</v>
      </c>
      <c r="B21" s="248" t="str">
        <f>IFERROR(VLOOKUP($A21,'CreativeLink MatrixAlt Text'!$A:$B,2,FALSE),"")</f>
        <v/>
      </c>
      <c r="C21" s="294" t="s">
        <v>328</v>
      </c>
    </row>
    <row r="22">
      <c r="A22" s="263" t="s">
        <v>238</v>
      </c>
      <c r="B22" s="248" t="str">
        <f>IFERROR(VLOOKUP($A22,'Production Details'!$A:$B,2,FALSE),"")</f>
        <v/>
      </c>
      <c r="C22" s="267" t="s">
        <v>296</v>
      </c>
    </row>
    <row r="23">
      <c r="A23" s="263" t="s">
        <v>239</v>
      </c>
      <c r="B23" s="248" t="str">
        <f>IFERROR(VLOOKUP($A23,'Production Details'!$A:$B,2,FALSE),"")</f>
        <v/>
      </c>
      <c r="C23" s="267" t="s">
        <v>296</v>
      </c>
    </row>
    <row r="24">
      <c r="A24" s="263" t="s">
        <v>241</v>
      </c>
      <c r="B24" s="248" t="str">
        <f>IFERROR(VLOOKUP($A24,'Production Details'!$A:$B,2,FALSE),"")</f>
        <v/>
      </c>
      <c r="C24" s="267" t="s">
        <v>296</v>
      </c>
    </row>
    <row r="25">
      <c r="A25" s="17" t="s">
        <v>22</v>
      </c>
      <c r="B25" s="248" t="str">
        <f>IFERROR(VLOOKUP($A25,'Production Details'!$A:$B,2,FALSE),"")</f>
        <v>Yes</v>
      </c>
      <c r="C25" s="267" t="s">
        <v>296</v>
      </c>
    </row>
    <row r="26">
      <c r="A26" s="273" t="s">
        <v>148</v>
      </c>
      <c r="B26" s="248" t="str">
        <f>IFERROR(VLOOKUP($A26,'Production Details'!$A:$B,2,FALSE),"")</f>
        <v/>
      </c>
      <c r="C26" s="267" t="s">
        <v>342</v>
      </c>
    </row>
    <row r="27">
      <c r="A27" s="314" t="s">
        <v>162</v>
      </c>
      <c r="B27" s="248" t="str">
        <f>IFERROR(VLOOKUP($A27,'Production Details'!$A:$B,2,FALSE),"")</f>
        <v/>
      </c>
      <c r="C27" s="267" t="s">
        <v>342</v>
      </c>
    </row>
    <row r="28">
      <c r="A28" s="314" t="s">
        <v>167</v>
      </c>
      <c r="B28" s="248" t="str">
        <f>IFERROR(VLOOKUP($A28,'Production Details'!$A:$B,2,FALSE),"")</f>
        <v/>
      </c>
      <c r="C28" s="267" t="s">
        <v>342</v>
      </c>
    </row>
    <row r="29">
      <c r="A29" s="273" t="s">
        <v>209</v>
      </c>
      <c r="B29" s="248" t="str">
        <f>IFERROR(VLOOKUP($A29,'Production Details'!$A:$B,2,FALSE),"")</f>
        <v/>
      </c>
      <c r="C29" s="267" t="s">
        <v>296</v>
      </c>
    </row>
  </sheetData>
  <mergeCells count="1">
    <mergeCell ref="A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2.75" outlineLevelCol="1" outlineLevelRow="2"/>
  <sheetData>
    <row r="1">
      <c r="A1" s="317" t="s">
        <v>344</v>
      </c>
    </row>
  </sheetData>
  <drawing r:id="rId1"/>
</worksheet>
</file>